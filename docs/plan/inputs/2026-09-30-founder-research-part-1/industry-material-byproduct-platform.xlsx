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611269a86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8c8f806249420f"/>
    <x:sheet xmlns:r="http://schemas.openxmlformats.org/officeDocument/2006/relationships" name="Workflow" sheetId="2" r:id="R83f755bb3564492e"/>
    <x:sheet xmlns:r="http://schemas.openxmlformats.org/officeDocument/2006/relationships" name="Industry Matrix" sheetId="3" r:id="Rc6ee6ebd3bac4733"/>
    <x:sheet xmlns:r="http://schemas.openxmlformats.org/officeDocument/2006/relationships" name="Material Lifecycle" sheetId="4" r:id="Re426ee8a29134630"/>
    <x:sheet xmlns:r="http://schemas.openxmlformats.org/officeDocument/2006/relationships" name="By-product Marketplace" sheetId="5" r:id="Re9915bb476b84c84"/>
    <x:sheet xmlns:r="http://schemas.openxmlformats.org/officeDocument/2006/relationships" name="Platform Strategy" sheetId="6" r:id="Re4f3ff7ecc9f42fa"/>
    <x:sheet xmlns:r="http://schemas.openxmlformats.org/officeDocument/2006/relationships" name="Sources" sheetId="7" r:id="R8623e3202617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404040"/>
      <x:name val="Carlito"/>
    </x:font>
    <x:font>
      <x:b/>
      <x:sz val="10"/>
      <x:color rgb="FFFFFFFF"/>
      <x:name val="Carlito"/>
    </x:font>
    <x:font>
      <x:b/>
      <x:sz val="12"/>
      <x:color rgb="FF17365D"/>
      <x:name val="Carlito"/>
    </x:font>
    <x:font>
      <x:b/>
      <x:sz val="10"/>
      <x:color rgb="FF7F6000"/>
      <x:name val="Carlito"/>
    </x:font>
    <x:font>
      <x:b/>
      <x:sz val="11"/>
      <x:color rgb="FF7F6000"/>
      <x:name val="Carlito"/>
    </x:font>
    <x:font>
      <x:sz val="9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25d6b15134b8d" /><Relationship Type="http://schemas.openxmlformats.org/officeDocument/2006/relationships/theme" Target="/xl/theme/theme1.xml" Id="Rf8bad3e727524852" /><Relationship Type="http://schemas.openxmlformats.org/officeDocument/2006/relationships/sharedStrings" Target="/xl/sharedStrings.xml" Id="R6ed67977b8a3480f" /><Relationship Type="http://schemas.openxmlformats.org/officeDocument/2006/relationships/worksheet" Target="/xl/worksheets/sheet1.xml" Id="R198c8f806249420f" /><Relationship Type="http://schemas.openxmlformats.org/officeDocument/2006/relationships/worksheet" Target="/xl/worksheets/sheet2.xml" Id="R83f755bb3564492e" /><Relationship Type="http://schemas.openxmlformats.org/officeDocument/2006/relationships/worksheet" Target="/xl/worksheets/sheet3.xml" Id="Rc6ee6ebd3bac4733" /><Relationship Type="http://schemas.openxmlformats.org/officeDocument/2006/relationships/worksheet" Target="/xl/worksheets/sheet4.xml" Id="Re426ee8a29134630" /><Relationship Type="http://schemas.openxmlformats.org/officeDocument/2006/relationships/worksheet" Target="/xl/worksheets/sheet5.xml" Id="Re9915bb476b84c84" /><Relationship Type="http://schemas.openxmlformats.org/officeDocument/2006/relationships/worksheet" Target="/xl/worksheets/sheet6.xml" Id="Re4f3ff7ecc9f42fa" /><Relationship Type="http://schemas.openxmlformats.org/officeDocument/2006/relationships/worksheet" Target="/xl/worksheets/sheet7.xml" Id="R8623e320261741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ce7b75eb394b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Industry taxonomy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Taxonomy rows</c:v>
          </c:tx>
          <c:cat>
            <c:strRef>
              <c:f>'Dashboard'!$A$17:$A$29</c:f>
              <c:strCache>
                <c:ptCount val="0"/>
              </c:strCache>
            </c:strRef>
          </c:cat>
          <c:val>
            <c:numRef>
              <c:f>'Dashboard'!$B$17:$B$29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ce7b75eb394b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flowTable" displayName="WorkflowTable" ref="A2:J14" headerRowCount="1" totalsRowCount="0" totalsRowShown="0">
  <x:tableColumns count="10">
    <x:tableColumn id="1" name="Stage"/>
    <x:tableColumn id="2" name="Primary user"/>
    <x:tableColumn id="3" name="Action"/>
    <x:tableColumn id="4" name="Incoming material state"/>
    <x:tableColumn id="5" name="Outgoing material state"/>
    <x:tableColumn id="6" name="Data captured"/>
    <x:tableColumn id="7" name="Next buyer/user"/>
    <x:tableColumn id="8" name="Commercial event"/>
    <x:tableColumn id="9" name="Compliance/traceability event"/>
    <x:tableColumn id="10" name="Platform fea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ustryMatrix" displayName="IndustryMatrix" ref="A2:K101" headerRowCount="1" totalsRowCount="0" totalsRowShown="0">
  <x:tableColumns count="11">
    <x:tableColumn id="1" name="Industry Group"/>
    <x:tableColumn id="2" name="Industry / Sub-sector"/>
    <x:tableColumn id="3" name="User / Role"/>
    <x:tableColumn id="4" name="Typical Input"/>
    <x:tableColumn id="5" name="Main Output / Product"/>
    <x:tableColumn id="6" name="Saleable Secondary Material / By-product"/>
    <x:tableColumn id="7" name="Recoverable Waste Stream"/>
    <x:tableColumn id="8" name="Residual Waste"/>
    <x:tableColumn id="9" name="Typical Next User"/>
    <x:tableColumn id="10" name="Material State"/>
    <x:tableColumn id="11" name="Platform / Regulatory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LifecycleTable" displayName="MaterialLifecycleTable" ref="A2:H35" headerRowCount="1" totalsRowCount="0" totalsRowShown="0">
  <x:tableColumns count="8">
    <x:tableColumn id="1" name="Material Family"/>
    <x:tableColumn id="2" name="Material / Grade"/>
    <x:tableColumn id="3" name="State / Transformation"/>
    <x:tableColumn id="4" name="Typical Route"/>
    <x:tableColumn id="5" name="What is Sold"/>
    <x:tableColumn id="6" name="Next User"/>
    <x:tableColumn id="7" name="Key Trading / QC Attributes"/>
    <x:tableColumn id="8" name="Platform Product Ne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yproductTable" displayName="ByproductTable" ref="A2:E32" headerRowCount="1" totalsRowCount="0" totalsRowShown="0">
  <x:tableColumns count="5">
    <x:tableColumn id="1" name="Material / By-product"/>
    <x:tableColumn id="2" name="Generated By"/>
    <x:tableColumn id="3" name="Commercial Status"/>
    <x:tableColumn id="4" name="Potential Next Use / Buyer"/>
    <x:tableColumn id="5" name="Required QC / Matching Attribu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ategyTable" displayName="StrategyTable" ref="A2:F16" headerRowCount="1" totalsRowCount="0" totalsRowShown="0">
  <x:tableColumns count="6">
    <x:tableColumn id="1" name="Priority"/>
    <x:tableColumn id="2" name="Platform problem"/>
    <x:tableColumn id="3" name="Recommended product capability"/>
    <x:tableColumn id="4" name="Why it matters"/>
    <x:tableColumn id="5" name="Core data objects"/>
    <x:tableColumn id="6" name="Build ph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2:D6" headerRowCount="1" totalsRowCount="0" totalsRowShown="0">
  <x:tableColumns count="4">
    <x:tableColumn id="1" name="Source"/>
    <x:tableColumn id="2" name="Use in workbook"/>
    <x:tableColumn id="3" name="Scope / note"/>
    <x:tableColumn id="4" name="Link /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a68992234142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f079284ef040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763ca3e689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671a71824e45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f43e55c3a7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4346e2ba840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4a5e5a017f47e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" hidden="0" customWidth="1"/>
    <x:col min="4" max="4" width="25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5" t="str">
        <x:v>Luma.Green — Industry, Material &amp; By-Product Circular Marketplace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Purpose: connect generators, collectors, yards, pre-processors, recyclers, processors and manufacturers around traceable material transformations.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KPI</x:v>
      </x:c>
      <x:c r="B4" s="22" t="str">
        <x:v>Value</x:v>
      </x:c>
      <x:c r="D4" s="30" t="str">
        <x:v>Platform operating model</x:v>
      </x:c>
      <x:c r="E4" s="30"/>
      <x:c r="F4" s="30"/>
      <x:c r="G4" s="30"/>
      <x:c r="H4" s="30"/>
    </x:row>
    <x:row r="5">
      <x:c r="A5" t="str">
        <x:v>Industry rows</x:v>
      </x:c>
      <x:c r="B5" t="n">
        <x:f>COUNTA('Industry Matrix'!B2:B300)</x:f>
        <x:v>100</x:v>
      </x:c>
      <x:c r="D5" s="13" t="str">
        <x:v>Generator</x:v>
      </x:c>
      <x:c r="E5" s="13" t="str">
        <x:v>Creates source record, pickup request and origin evidence</x:v>
      </x:c>
      <x:c r="F5" s="13" t="str"/>
      <x:c r="G5" s="13" t="str"/>
      <x:c r="H5" s="13" t="str"/>
    </x:row>
    <x:row r="6">
      <x:c r="A6" t="str">
        <x:v>Industry groups</x:v>
      </x:c>
      <x:c r="B6" t="n">
        <x:f>COUNTA(A32:A44)</x:f>
        <x:v>13</x:v>
      </x:c>
      <x:c r="D6" s="13" t="str">
        <x:v>Collector / Saathi</x:v>
      </x:c>
      <x:c r="E6" s="13" t="str">
        <x:v>Collects, weighs and records hand-off</x:v>
      </x:c>
      <x:c r="F6" s="13" t="str"/>
      <x:c r="G6" s="13" t="str"/>
      <x:c r="H6" s="13" t="str"/>
    </x:row>
    <x:row r="7">
      <x:c r="A7" t="str">
        <x:v>Material lifecycle rows</x:v>
      </x:c>
      <x:c r="B7" t="n">
        <x:f>COUNTA('Material Lifecycle'!B2:B100)</x:f>
        <x:v>34</x:v>
      </x:c>
      <x:c r="D7" s="13" t="str">
        <x:v>Kabadiwala / DWC</x:v>
      </x:c>
      <x:c r="E7" s="13" t="str">
        <x:v>Sorts, grades and aggregates</x:v>
      </x:c>
      <x:c r="F7" s="13" t="str"/>
      <x:c r="G7" s="13" t="str"/>
      <x:c r="H7" s="13" t="str"/>
    </x:row>
    <x:row r="8">
      <x:c r="A8" t="str">
        <x:v>By-product rows</x:v>
      </x:c>
      <x:c r="B8" t="n">
        <x:f>COUNTA('By-product Marketplace'!A2:A100)</x:f>
        <x:v>31</x:v>
      </x:c>
      <x:c r="D8" s="13" t="str">
        <x:v>Yard</x:v>
      </x:c>
      <x:c r="E8" s="13" t="str">
        <x:v>Bales / consolidates / trades bulk lots</x:v>
      </x:c>
      <x:c r="F8" s="13" t="str"/>
      <x:c r="G8" s="13" t="str"/>
      <x:c r="H8" s="13" t="str"/>
    </x:row>
    <x:row r="9">
      <x:c r="A9" t="str">
        <x:v>Workflow stages</x:v>
      </x:c>
      <x:c r="B9" t="n">
        <x:f>COUNTA(Workflow!B2:B50)</x:f>
        <x:v>13</x:v>
      </x:c>
      <x:c r="D9" s="13" t="str">
        <x:v>Pre-processor</x:v>
      </x:c>
      <x:c r="E9" s="13" t="str">
        <x:v>Transforms material into a marketable intermediate</x:v>
      </x:c>
      <x:c r="F9" s="13" t="str"/>
      <x:c r="G9" s="13" t="str"/>
      <x:c r="H9" s="13" t="str"/>
    </x:row>
    <x:row r="10">
      <x:c r="A10" t="str">
        <x:v>Core user roles</x:v>
      </x:c>
      <x:c r="B10" t="n">
        <x:v>12</x:v>
      </x:c>
      <x:c r="D10" s="13" t="str">
        <x:v>Recycler / Processor</x:v>
      </x:c>
      <x:c r="E10" s="13" t="str">
        <x:v>Recovers or reprocesses into industrial feedstock</x:v>
      </x:c>
      <x:c r="F10" s="13" t="str"/>
      <x:c r="G10" s="13" t="str"/>
      <x:c r="H10" s="13" t="str"/>
    </x:row>
    <x:row r="11">
      <x:c r="D11" s="13" t="str">
        <x:v>Manufacturer</x:v>
      </x:c>
      <x:c r="E11" s="13" t="str">
        <x:v>Consumes secondary raw material / makes product</x:v>
      </x:c>
      <x:c r="F11" s="13" t="str"/>
      <x:c r="G11" s="13" t="str"/>
      <x:c r="H11" s="13" t="str"/>
    </x:row>
    <x:row r="12">
      <x:c r="D12" s="13" t="str">
        <x:v>Residual handler</x:v>
      </x:c>
      <x:c r="E12" s="13" t="str">
        <x:v>Controls non-recoverable / regulated residue</x:v>
      </x:c>
      <x:c r="F12" s="13" t="str"/>
      <x:c r="G12" s="13" t="str"/>
      <x:c r="H12" s="13" t="str"/>
    </x:row>
    <x:row r="13">
      <x:c r="A13" s="36" t="str">
        <x:v>Critical design principle: every material transaction should record what the material was BEFORE processing, what the user made, what secondary streams came out, and who can buy each resulting grade.</x:v>
      </x:c>
      <x:c r="B13" s="36"/>
      <x:c r="C13" s="36"/>
      <x:c r="D13" s="36"/>
      <x:c r="E13" s="36"/>
      <x:c r="F13" s="36"/>
      <x:c r="G13" s="36"/>
      <x:c r="H13" s="36"/>
    </x:row>
    <x:row r="16">
      <x:c r="A16" s="44" t="str">
        <x:v>Industry group</x:v>
      </x:c>
      <x:c r="B16" s="44" t="str">
        <x:v>Taxonomy rows</x:v>
      </x:c>
    </x:row>
    <x:row r="17">
      <x:c r="A17" s="13" t="str">
        <x:v>Chemical / Pharma</x:v>
      </x:c>
      <x:c r="B17" s="13" t="n">
        <x:v>10</x:v>
      </x:c>
    </x:row>
    <x:row r="18">
      <x:c r="A18" s="13" t="str">
        <x:v>Metals / Foundry</x:v>
      </x:c>
      <x:c r="B18" s="13" t="n">
        <x:v>10</x:v>
      </x:c>
    </x:row>
    <x:row r="19">
      <x:c r="A19" s="13" t="str">
        <x:v>Automotive / ELV</x:v>
      </x:c>
      <x:c r="B19" s="13" t="n">
        <x:v>5</x:v>
      </x:c>
    </x:row>
    <x:row r="20">
      <x:c r="A20" s="13" t="str">
        <x:v>Electronics / Batteries</x:v>
      </x:c>
      <x:c r="B20" s="13" t="n">
        <x:v>8</x:v>
      </x:c>
    </x:row>
    <x:row r="21">
      <x:c r="A21" s="13" t="str">
        <x:v>Plastics / Rubber / Tyres</x:v>
      </x:c>
      <x:c r="B21" s="13" t="n">
        <x:v>12</x:v>
      </x:c>
    </x:row>
    <x:row r="22">
      <x:c r="A22" s="13" t="str">
        <x:v>Food / Agro / Dairy</x:v>
      </x:c>
      <x:c r="B22" s="13" t="n">
        <x:v>10</x:v>
      </x:c>
    </x:row>
    <x:row r="23">
      <x:c r="A23" s="13" t="str">
        <x:v>Oil / Used Oil</x:v>
      </x:c>
      <x:c r="B23" s="13" t="n">
        <x:v>4</x:v>
      </x:c>
    </x:row>
    <x:row r="24">
      <x:c r="A24" s="13" t="str">
        <x:v>Paper / Printing</x:v>
      </x:c>
      <x:c r="B24" s="13" t="n">
        <x:v>5</x:v>
      </x:c>
    </x:row>
    <x:row r="25">
      <x:c r="A25" s="13" t="str">
        <x:v>Textile / Leather</x:v>
      </x:c>
      <x:c r="B25" s="13" t="n">
        <x:v>7</x:v>
      </x:c>
    </x:row>
    <x:row r="26">
      <x:c r="A26" s="13" t="str">
        <x:v>Wood / Biomass</x:v>
      </x:c>
      <x:c r="B26" s="13" t="n">
        <x:v>5</x:v>
      </x:c>
    </x:row>
    <x:row r="27">
      <x:c r="A27" s="13" t="str">
        <x:v>Mining / Cement / Glass</x:v>
      </x:c>
      <x:c r="B27" s="13" t="n">
        <x:v>10</x:v>
      </x:c>
    </x:row>
    <x:row r="28">
      <x:c r="A28" s="13" t="str">
        <x:v>Energy / CBG / Utilities</x:v>
      </x:c>
      <x:c r="B28" s="13" t="n">
        <x:v>6</x:v>
      </x:c>
    </x:row>
    <x:row r="29">
      <x:c r="A29" s="13" t="str">
        <x:v>Environmental / Recovery</x:v>
      </x:c>
      <x:c r="B29" s="13" t="n">
        <x:v>6</x:v>
      </x:c>
    </x:row>
    <x:row r="31" ht="15" customHeight="1">
      <x:c r="A31" s="22" t="str">
        <x:v>Industry groups in this taxonomy</x:v>
      </x:c>
      <x:c r="B31" s="22" t="n">
        <x:f>COUNTA(A32:A44)</x:f>
        <x:v>13</x:v>
      </x:c>
    </x:row>
    <x:row r="32" ht="15" customHeight="1">
      <x:c r="A32" s="55" t="str">
        <x:v>Chemical / Pharma</x:v>
      </x:c>
    </x:row>
    <x:row r="33" ht="15" customHeight="1">
      <x:c r="A33" s="55" t="str">
        <x:v>Metals / Foundry</x:v>
      </x:c>
    </x:row>
    <x:row r="34" ht="15" customHeight="1">
      <x:c r="A34" s="55" t="str">
        <x:v>Automotive / ELV</x:v>
      </x:c>
    </x:row>
    <x:row r="35" ht="15" customHeight="1">
      <x:c r="A35" s="55" t="str">
        <x:v>Electronics / Batteries</x:v>
      </x:c>
    </x:row>
    <x:row r="36" ht="15" customHeight="1">
      <x:c r="A36" s="55" t="str">
        <x:v>Plastics / Rubber / Tyres</x:v>
      </x:c>
    </x:row>
    <x:row r="37" ht="15" customHeight="1">
      <x:c r="A37" s="55" t="str">
        <x:v>Food / Agro / Dairy</x:v>
      </x:c>
    </x:row>
    <x:row r="38" ht="15" customHeight="1">
      <x:c r="A38" s="55" t="str">
        <x:v>Oil / Used Oil</x:v>
      </x:c>
    </x:row>
    <x:row r="39" ht="15" customHeight="1">
      <x:c r="A39" s="55" t="str">
        <x:v>Paper / Printing</x:v>
      </x:c>
    </x:row>
    <x:row r="40" ht="15" customHeight="1">
      <x:c r="A40" s="55" t="str">
        <x:v>Textile / Leather</x:v>
      </x:c>
    </x:row>
    <x:row r="41" ht="15" customHeight="1">
      <x:c r="A41" s="55" t="str">
        <x:v>Wood / Biomass</x:v>
      </x:c>
    </x:row>
    <x:row r="42" ht="15" customHeight="1">
      <x:c r="A42" s="55" t="str">
        <x:v>Mining / Cement / Glass</x:v>
      </x:c>
    </x:row>
    <x:row r="43" ht="15" customHeight="1">
      <x:c r="A43" s="55" t="str">
        <x:v>Energy / CBG / Utilities</x:v>
      </x:c>
    </x:row>
    <x:row r="44" ht="15" customHeight="1">
      <x:c r="A44" s="55" t="str">
        <x:v>Environmental / Recovery</x:v>
      </x:c>
    </x:row>
  </x:sheetData>
  <x:mergeCells>
    <x:mergeCell ref="A1:H1"/>
    <x:mergeCell ref="A2:H2"/>
    <x:mergeCell ref="D4:H4"/>
    <x:mergeCell ref="A13:H13"/>
  </x:mergeCells>
  <x:pageMargins left="0.7" right="0.7" top="0.75" bottom="0.75" header="0.3" footer="0.3"/>
  <x:drawing xmlns:r="http://schemas.openxmlformats.org/officeDocument/2006/relationships" r:id="Re7a689922341425b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6" hidden="0" customWidth="1"/>
    <x:col min="4" max="4" width="24" hidden="0" customWidth="1"/>
    <x:col min="5" max="5" width="28" hidden="0" customWidth="1"/>
    <x:col min="6" max="6" width="42" hidden="0" customWidth="1"/>
    <x:col min="7" max="7" width="28" hidden="0" customWidth="1"/>
    <x:col min="8" max="8" width="22" hidden="0" customWidth="1"/>
    <x:col min="9" max="9" width="34" hidden="0" customWidth="1"/>
    <x:col min="10" max="10" width="34" hidden="0" customWidth="1"/>
  </x:cols>
  <x:sheetData>
    <x:row r="1" ht="26" customHeight="1">
      <x:c r="A1" s="5" t="str">
        <x:v>Luma.Green Material Flow — End-to-End Operating Workflow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22" t="str">
        <x:v>Stage</x:v>
      </x:c>
      <x:c r="B2" s="22" t="str">
        <x:v>Primary user</x:v>
      </x:c>
      <x:c r="C2" s="22" t="str">
        <x:v>Action</x:v>
      </x:c>
      <x:c r="D2" s="22" t="str">
        <x:v>Incoming material state</x:v>
      </x:c>
      <x:c r="E2" s="22" t="str">
        <x:v>Outgoing material state</x:v>
      </x:c>
      <x:c r="F2" s="22" t="str">
        <x:v>Data captured</x:v>
      </x:c>
      <x:c r="G2" s="22" t="str">
        <x:v>Next buyer/user</x:v>
      </x:c>
      <x:c r="H2" s="22" t="str">
        <x:v>Commercial event</x:v>
      </x:c>
      <x:c r="I2" s="22" t="str">
        <x:v>Compliance/traceability event</x:v>
      </x:c>
      <x:c r="J2" s="22" t="str">
        <x:v>Platform feature</x:v>
      </x:c>
    </x:row>
    <x:row r="3">
      <x:c r="A3" s="13" t="str">
        <x:v>1</x:v>
      </x:c>
      <x:c r="B3" s="13" t="str">
        <x:v>Generator / Consumer</x:v>
      </x:c>
      <x:c r="C3" s="13" t="str">
        <x:v>Create material</x:v>
      </x:c>
      <x:c r="D3" s="13" t="str">
        <x:v>Discarded material</x:v>
      </x:c>
      <x:c r="E3" s="13" t="str">
        <x:v>Pickup request / transaction</x:v>
      </x:c>
      <x:c r="F3" s="13" t="str">
        <x:v>Material family, source, approximate quantity, photo</x:v>
      </x:c>
      <x:c r="G3" s="13" t="str">
        <x:v>Household, office, hotel, factory</x:v>
      </x:c>
      <x:c r="H3" s="13"/>
      <x:c r="I3" s="13"/>
      <x:c r="J3" s="13"/>
    </x:row>
    <x:row r="4">
      <x:c r="A4" s="13" t="str">
        <x:v>2</x:v>
      </x:c>
      <x:c r="B4" s="13" t="str">
        <x:v>Saathi / Collector</x:v>
      </x:c>
      <x:c r="C4" s="13" t="str">
        <x:v>Collect &amp; weigh</x:v>
      </x:c>
      <x:c r="D4" s="13" t="str">
        <x:v>Loose material</x:v>
      </x:c>
      <x:c r="E4" s="13" t="str">
        <x:v>Verified collected lot</x:v>
      </x:c>
      <x:c r="F4" s="13" t="str">
        <x:v>Weight, date/time, location, source</x:v>
      </x:c>
      <x:c r="G4" s="13" t="str">
        <x:v>Kabadiwala / DWC / Yard</x:v>
      </x:c>
      <x:c r="H4" s="13"/>
      <x:c r="I4" s="13"/>
      <x:c r="J4" s="13"/>
    </x:row>
    <x:row r="5">
      <x:c r="A5" s="13" t="str">
        <x:v>3</x:v>
      </x:c>
      <x:c r="B5" s="13" t="str">
        <x:v>Kabadiwala / DWC</x:v>
      </x:c>
      <x:c r="C5" s="13" t="str">
        <x:v>Sort &amp; aggregate</x:v>
      </x:c>
      <x:c r="D5" s="13" t="str">
        <x:v>Mixed/unsorted material</x:v>
      </x:c>
      <x:c r="E5" s="13" t="str">
        <x:v>Grade-separated material</x:v>
      </x:c>
      <x:c r="F5" s="13" t="str">
        <x:v>Grade, contamination, moisture estimate</x:v>
      </x:c>
      <x:c r="G5" s="13" t="str">
        <x:v>Yard / Pre-processor</x:v>
      </x:c>
      <x:c r="H5" s="13"/>
      <x:c r="I5" s="13"/>
      <x:c r="J5" s="13"/>
    </x:row>
    <x:row r="6">
      <x:c r="A6" s="13" t="str">
        <x:v>4</x:v>
      </x:c>
      <x:c r="B6" s="13" t="str">
        <x:v>Yard / Aggregator</x:v>
      </x:c>
      <x:c r="C6" s="13" t="str">
        <x:v>Bulk, bale, consolidate</x:v>
      </x:c>
      <x:c r="D6" s="13" t="str">
        <x:v>Sorted material</x:v>
      </x:c>
      <x:c r="E6" s="13" t="str">
        <x:v>Trade-ready bale / lot</x:v>
      </x:c>
      <x:c r="F6" s="13" t="str">
        <x:v>Net weight, bale count, buyer quote, transport</x:v>
      </x:c>
      <x:c r="G6" s="13" t="str">
        <x:v>Pre-processor / Recycler</x:v>
      </x:c>
      <x:c r="H6" s="13"/>
      <x:c r="I6" s="13"/>
      <x:c r="J6" s="13"/>
    </x:row>
    <x:row r="7">
      <x:c r="A7" s="13" t="str">
        <x:v>5</x:v>
      </x:c>
      <x:c r="B7" s="13" t="str">
        <x:v>Pre-processor</x:v>
      </x:c>
      <x:c r="C7" s="13" t="str">
        <x:v>Mechanical/physical preparation</x:v>
      </x:c>
      <x:c r="D7" s="13" t="str">
        <x:v>Bale / loose feedstock</x:v>
      </x:c>
      <x:c r="E7" s="13" t="str">
        <x:v>Flake, regrind, chips, stripped wire, cullet, pulp etc.</x:v>
      </x:c>
      <x:c r="F7" s="13" t="str">
        <x:v>Process type, yield, grade, contamination, dimensions</x:v>
      </x:c>
      <x:c r="G7" s="13" t="str">
        <x:v>Recycler / Intermediate Processor</x:v>
      </x:c>
      <x:c r="H7" s="13"/>
      <x:c r="I7" s="13"/>
      <x:c r="J7" s="13"/>
    </x:row>
    <x:row r="8">
      <x:c r="A8" s="13" t="str">
        <x:v>6</x:v>
      </x:c>
      <x:c r="B8" s="13" t="str">
        <x:v>Washer / Cleaning Unit</x:v>
      </x:c>
      <x:c r="C8" s="13" t="str">
        <x:v>Wash / clean / separate</x:v>
      </x:c>
      <x:c r="D8" s="13" t="str">
        <x:v>Raw flakes / feedstock</x:v>
      </x:c>
      <x:c r="E8" s="13" t="str">
        <x:v>Clean washed material</x:v>
      </x:c>
      <x:c r="F8" s="13" t="str">
        <x:v>Hot/cold wash, moisture, contamination, water-loss/residue</x:v>
      </x:c>
      <x:c r="G8" s="13" t="str">
        <x:v>Granulator / Recycler / Manufacturer</x:v>
      </x:c>
      <x:c r="H8" s="13"/>
      <x:c r="I8" s="13"/>
      <x:c r="J8" s="13"/>
    </x:row>
    <x:row r="9">
      <x:c r="A9" s="13" t="str">
        <x:v>7</x:v>
      </x:c>
      <x:c r="B9" s="13" t="str">
        <x:v>Recycler / Recovery Processor</x:v>
      </x:c>
      <x:c r="C9" s="13" t="str">
        <x:v>Reprocess / recover</x:v>
      </x:c>
      <x:c r="D9" s="13" t="str">
        <x:v>Prepared feedstock</x:v>
      </x:c>
      <x:c r="E9" s="13" t="str">
        <x:v>Granules, pellets, ingots, secondary metals, recovered chemicals</x:v>
      </x:c>
      <x:c r="F9" s="13" t="str">
        <x:v>Recovery yield, specification, QA result</x:v>
      </x:c>
      <x:c r="G9" s="13" t="str">
        <x:v>Compounder / Manufacturer</x:v>
      </x:c>
      <x:c r="H9" s="13"/>
      <x:c r="I9" s="13"/>
      <x:c r="J9" s="13"/>
    </x:row>
    <x:row r="10">
      <x:c r="A10" s="13" t="str">
        <x:v>8</x:v>
      </x:c>
      <x:c r="B10" s="13" t="str">
        <x:v>Compounder / Intermediate Processor</x:v>
      </x:c>
      <x:c r="C10" s="13" t="str">
        <x:v>Blend / modify</x:v>
      </x:c>
      <x:c r="D10" s="13" t="str">
        <x:v>Recycled material + additives/feedstocks</x:v>
      </x:c>
      <x:c r="E10" s="13" t="str">
        <x:v>Compounded pellet / intermediate</x:v>
      </x:c>
      <x:c r="F10" s="13" t="str">
        <x:v>Recipe family, grade, additive package, batch</x:v>
      </x:c>
      <x:c r="G10" s="13" t="str">
        <x:v>Manufacturer</x:v>
      </x:c>
      <x:c r="H10" s="13"/>
      <x:c r="I10" s="13"/>
      <x:c r="J10" s="13"/>
    </x:row>
    <x:row r="11">
      <x:c r="A11" s="13" t="str">
        <x:v>9</x:v>
      </x:c>
      <x:c r="B11" s="13" t="str">
        <x:v>Manufacturer</x:v>
      </x:c>
      <x:c r="C11" s="13" t="str">
        <x:v>Convert into finished product</x:v>
      </x:c>
      <x:c r="D11" s="13" t="str">
        <x:v>Secondary raw material / intermediate</x:v>
      </x:c>
      <x:c r="E11" s="13" t="str">
        <x:v>Finished product</x:v>
      </x:c>
      <x:c r="F11" s="13" t="str">
        <x:v>Production batch, recycled content, quality certificate</x:v>
      </x:c>
      <x:c r="G11" s="13" t="str">
        <x:v>Brand / Industrial customer</x:v>
      </x:c>
      <x:c r="H11" s="13"/>
      <x:c r="I11" s="13"/>
      <x:c r="J11" s="13"/>
    </x:row>
    <x:row r="12">
      <x:c r="A12" s="13" t="str">
        <x:v>10</x:v>
      </x:c>
      <x:c r="B12" s="13" t="str">
        <x:v>By-product Buyer</x:v>
      </x:c>
      <x:c r="C12" s="13" t="str">
        <x:v>Buy secondary stream</x:v>
      </x:c>
      <x:c r="D12" s="13" t="str">
        <x:v>By-product / recoverable fraction</x:v>
      </x:c>
      <x:c r="E12" s="13" t="str">
        <x:v>New industrial input</x:v>
      </x:c>
      <x:c r="F12" s="13" t="str">
        <x:v>Material specification, contamination, application</x:v>
      </x:c>
      <x:c r="G12" s="13" t="str">
        <x:v>Another processor</x:v>
      </x:c>
      <x:c r="H12" s="13"/>
      <x:c r="I12" s="13"/>
      <x:c r="J12" s="13"/>
    </x:row>
    <x:row r="13">
      <x:c r="A13" s="13" t="str">
        <x:v>11</x:v>
      </x:c>
      <x:c r="B13" s="13" t="str">
        <x:v>Residual Waste Handler</x:v>
      </x:c>
      <x:c r="C13" s="13" t="str">
        <x:v>Collect controlled residual</x:v>
      </x:c>
      <x:c r="D13" s="13" t="str">
        <x:v>Sludge / unrecoverable residue</x:v>
      </x:c>
      <x:c r="E13" s="13" t="str">
        <x:v>Treatment / disposal record</x:v>
      </x:c>
      <x:c r="F13" s="13" t="str">
        <x:v>Waste class, quantity, manifest, destination</x:v>
      </x:c>
      <x:c r="G13" s="13" t="str">
        <x:v>Authorised recycler / TSDF / co-processor</x:v>
      </x:c>
      <x:c r="H13" s="13"/>
      <x:c r="I13" s="13"/>
      <x:c r="J13" s="13"/>
    </x:row>
    <x:row r="14">
      <x:c r="A14" s="13" t="str">
        <x:v>12</x:v>
      </x:c>
      <x:c r="B14" s="13" t="str">
        <x:v>Brand / EPR / Auditor</x:v>
      </x:c>
      <x:c r="C14" s="13" t="str">
        <x:v>Verify chain-of-custody</x:v>
      </x:c>
      <x:c r="D14" s="13" t="str">
        <x:v>Transaction + processing records</x:v>
      </x:c>
      <x:c r="E14" s="13" t="str">
        <x:v>Traceability / EPR evidence</x:v>
      </x:c>
      <x:c r="F14" s="13" t="str">
        <x:v>Source, weight, processor, dates, certificates</x:v>
      </x:c>
      <x:c r="G14" s="13" t="str">
        <x:v>Brand / regulator / auditor</x:v>
      </x:c>
      <x:c r="H14" s="13"/>
      <x:c r="I14" s="13"/>
      <x:c r="J14" s="1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ef079284ef040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5" hidden="0" customWidth="1"/>
    <x:col min="3" max="3" width="25" hidden="0" customWidth="1"/>
    <x:col min="4" max="4" width="34" hidden="0" customWidth="1"/>
    <x:col min="5" max="5" width="34" hidden="0" customWidth="1"/>
    <x:col min="6" max="6" width="40" hidden="0" customWidth="1"/>
    <x:col min="7" max="7" width="34" hidden="0" customWidth="1"/>
    <x:col min="8" max="8" width="34" hidden="0" customWidth="1"/>
    <x:col min="9" max="9" width="32" hidden="0" customWidth="1"/>
    <x:col min="10" max="10" width="27" hidden="0" customWidth="1"/>
    <x:col min="11" max="11" width="44" hidden="0" customWidth="1"/>
  </x:cols>
  <x:sheetData>
    <x:row r="1" ht="26" customHeight="1">
      <x:c r="A1" s="5" t="str">
        <x:v>Luma.Green — Industry-Wise Material / By-Product / Waste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22" t="str">
        <x:v>Industry Group</x:v>
      </x:c>
      <x:c r="B2" s="22" t="str">
        <x:v>Industry / Sub-sector</x:v>
      </x:c>
      <x:c r="C2" s="22" t="str">
        <x:v>User / Role</x:v>
      </x:c>
      <x:c r="D2" s="22" t="str">
        <x:v>Typical Input</x:v>
      </x:c>
      <x:c r="E2" s="22" t="str">
        <x:v>Main Output / Product</x:v>
      </x:c>
      <x:c r="F2" s="22" t="str">
        <x:v>Saleable Secondary Material / By-product</x:v>
      </x:c>
      <x:c r="G2" s="22" t="str">
        <x:v>Recoverable Waste Stream</x:v>
      </x:c>
      <x:c r="H2" s="22" t="str">
        <x:v>Residual Waste</x:v>
      </x:c>
      <x:c r="I2" s="22" t="str">
        <x:v>Typical Next User</x:v>
      </x:c>
      <x:c r="J2" s="22" t="str">
        <x:v>Material State</x:v>
      </x:c>
      <x:c r="K2" s="22" t="str">
        <x:v>Platform / Regulatory Note</x:v>
      </x:c>
    </x:row>
    <x:row r="3">
      <x:c r="A3" s="13" t="str">
        <x:v>1. Chemical, Petrochemical &amp; Pharmaceutical</x:v>
      </x:c>
      <x:c r="B3" s="13" t="str">
        <x:v>Basic &amp; Inorganic Chemicals</x:v>
      </x:c>
      <x:c r="C3" s="13" t="str">
        <x:v>Processor / Manufacturer</x:v>
      </x:c>
      <x:c r="D3" s="13" t="str">
        <x:v>Minerals, acids, alkalis, industrial chemicals</x:v>
      </x:c>
      <x:c r="E3" s="13" t="str">
        <x:v>Acids, alkalis, salts, industrial chemicals</x:v>
      </x:c>
      <x:c r="F3" s="13" t="str">
        <x:v>Recovered salts / reusable process chemicals where specification permits</x:v>
      </x:c>
      <x:c r="G3" s="13" t="str">
        <x:v>Spent acid/alkali, recoverable chemical residues</x:v>
      </x:c>
      <x:c r="H3" s="13" t="str">
        <x:v>Treatment sludge, contaminated residues</x:v>
      </x:c>
      <x:c r="I3" s="13" t="str">
        <x:v>Chemical recovery / authorised waste processor</x:v>
      </x:c>
      <x:c r="J3" s="13" t="str">
        <x:v>Industrial chemical / secondary chemical</x:v>
      </x:c>
      <x:c r="K3" s="13" t="str">
        <x:v>Exact material status depends on specification and legal route.</x:v>
      </x:c>
    </x:row>
    <x:row r="4">
      <x:c r="A4" s="13" t="str">
        <x:v>1. Chemical, Petrochemical &amp; Pharmaceutical</x:v>
      </x:c>
      <x:c r="B4" s="13" t="str">
        <x:v>Organic &amp; Specialty Chemicals</x:v>
      </x:c>
      <x:c r="C4" s="13" t="str">
        <x:v>Processor / Manufacturer</x:v>
      </x:c>
      <x:c r="D4" s="13" t="str">
        <x:v>Organic feedstocks, solvents, intermediates</x:v>
      </x:c>
      <x:c r="E4" s="13" t="str">
        <x:v>Organic chemicals, specialty chemicals, intermediates</x:v>
      </x:c>
      <x:c r="F4" s="13" t="str">
        <x:v>Recovered solvents / off-spec streams suitable for recovery</x:v>
      </x:c>
      <x:c r="G4" s="13" t="str">
        <x:v>Spent solvents, reusable process residues</x:v>
      </x:c>
      <x:c r="H4" s="13" t="str">
        <x:v>Still bottoms, contaminated sludge</x:v>
      </x:c>
      <x:c r="I4" s="13" t="str">
        <x:v>Solvent recovery / chemical reprocessor</x:v>
      </x:c>
      <x:c r="J4" s="13" t="str">
        <x:v>Recovered solvent / chemical intermediate</x:v>
      </x:c>
      <x:c r="K4" s="13" t="str">
        <x:v>Track purity, composition and hazard status.</x:v>
      </x:c>
    </x:row>
    <x:row r="5">
      <x:c r="A5" s="13" t="str">
        <x:v>1. Chemical, Petrochemical &amp; Pharmaceutical</x:v>
      </x:c>
      <x:c r="B5" s="13" t="str">
        <x:v>Dyes, Pigments &amp; Colour Chemicals</x:v>
      </x:c>
      <x:c r="C5" s="13" t="str">
        <x:v>Processor / Manufacturer</x:v>
      </x:c>
      <x:c r="D5" s="13" t="str">
        <x:v>Dye intermediates, pigments, solvents, water</x:v>
      </x:c>
      <x:c r="E5" s="13" t="str">
        <x:v>Dyes, pigments, colour intermediates</x:v>
      </x:c>
      <x:c r="F5" s="13" t="str">
        <x:v>Recovered pigments / reusable intermediates where suitable</x:v>
      </x:c>
      <x:c r="G5" s="13" t="str">
        <x:v>Spent solvent, filter cake, process residues</x:v>
      </x:c>
      <x:c r="H5" s="13" t="str">
        <x:v>Pigment/chemical sludge, contaminated containers</x:v>
      </x:c>
      <x:c r="I5" s="13" t="str">
        <x:v>Chemical recovery / hazardous-waste processor</x:v>
      </x:c>
      <x:c r="J5" s="13" t="str">
        <x:v>Dye / pigment intermediate</x:v>
      </x:c>
      <x:c r="K5" s="13" t="str">
        <x:v>Separate reusable co-product from regulated waste.</x:v>
      </x:c>
    </x:row>
    <x:row r="6">
      <x:c r="A6" s="13" t="str">
        <x:v>1. Chemical, Petrochemical &amp; Pharmaceutical</x:v>
      </x:c>
      <x:c r="B6" s="13" t="str">
        <x:v>Pesticides &amp; Agrochemicals</x:v>
      </x:c>
      <x:c r="C6" s="13" t="str">
        <x:v>Processor / Manufacturer</x:v>
      </x:c>
      <x:c r="D6" s="13" t="str">
        <x:v>Technical actives, solvents, carriers, additives</x:v>
      </x:c>
      <x:c r="E6" s="13" t="str">
        <x:v>Technical pesticide / formulated pesticide</x:v>
      </x:c>
      <x:c r="F6" s="13" t="str">
        <x:v>Recoverable solvent or off-spec material where authorised</x:v>
      </x:c>
      <x:c r="G6" s="13" t="str">
        <x:v>Contaminated packaging, solvent residues</x:v>
      </x:c>
      <x:c r="H6" s="13" t="str">
        <x:v>Process sludge, rejected hazardous material</x:v>
      </x:c>
      <x:c r="I6" s="13" t="str">
        <x:v>Authorised hazardous-waste processor</x:v>
      </x:c>
      <x:c r="J6" s="13" t="str">
        <x:v>Chemical product / regulated residue</x:v>
      </x:c>
      <x:c r="K6" s="13" t="str">
        <x:v>Do not list regulated hazardous residues as ordinary scrap.</x:v>
      </x:c>
    </x:row>
    <x:row r="7">
      <x:c r="A7" s="13" t="str">
        <x:v>1. Chemical, Petrochemical &amp; Pharmaceutical</x:v>
      </x:c>
      <x:c r="B7" s="13" t="str">
        <x:v>Fertilizer &amp; Nutrient Products</x:v>
      </x:c>
      <x:c r="C7" s="13" t="str">
        <x:v>Processor / Manufacturer</x:v>
      </x:c>
      <x:c r="D7" s="13" t="str">
        <x:v>Fertilizer salts, minerals, additives</x:v>
      </x:c>
      <x:c r="E7" s="13" t="str">
        <x:v>Fertilizer granules / blended nutrients</x:v>
      </x:c>
      <x:c r="F7" s="13" t="str">
        <x:v>Off-spec granules, fertilizer dust suitable for reprocessing</x:v>
      </x:c>
      <x:c r="G7" s="13" t="str">
        <x:v>Sweepings, bag waste, filter residues</x:v>
      </x:c>
      <x:c r="H7" s="13" t="str">
        <x:v>Contaminated sludge</x:v>
      </x:c>
      <x:c r="I7" s="13" t="str">
        <x:v>Fertilizer reprocessor / authorised handler</x:v>
      </x:c>
      <x:c r="J7" s="13" t="str">
        <x:v>Fertilizer secondary material</x:v>
      </x:c>
      <x:c r="K7" s="13" t="str">
        <x:v>Quality and contaminant testing required.</x:v>
      </x:c>
    </x:row>
    <x:row r="8">
      <x:c r="A8" s="13" t="str">
        <x:v>1. Chemical, Petrochemical &amp; Pharmaceutical</x:v>
      </x:c>
      <x:c r="B8" s="13" t="str">
        <x:v>Synthetic Resins &amp; Polymer Resins</x:v>
      </x:c>
      <x:c r="C8" s="13" t="str">
        <x:v>Processor / Manufacturer</x:v>
      </x:c>
      <x:c r="D8" s="13" t="str">
        <x:v>Monomers, catalysts, solvents, additives</x:v>
      </x:c>
      <x:c r="E8" s="13" t="str">
        <x:v>Synthetic resins / formulated resin systems</x:v>
      </x:c>
      <x:c r="F8" s="13" t="str">
        <x:v>Off-spec resin for controlled reprocessing</x:v>
      </x:c>
      <x:c r="G8" s="13" t="str">
        <x:v>Resin purge, recoverable solvent, contaminated packaging</x:v>
      </x:c>
      <x:c r="H8" s="13" t="str">
        <x:v>Unrecoverable resin waste / sludge</x:v>
      </x:c>
      <x:c r="I8" s="13" t="str">
        <x:v>Resin reprocessor / authorised handler</x:v>
      </x:c>
      <x:c r="J8" s="13" t="str">
        <x:v>Resin regrind / recovered chemical</x:v>
      </x:c>
      <x:c r="K8" s="13" t="str">
        <x:v>Capture polymer type and grade.</x:v>
      </x:c>
    </x:row>
    <x:row r="9">
      <x:c r="A9" s="13" t="str">
        <x:v>1. Chemical, Petrochemical &amp; Pharmaceutical</x:v>
      </x:c>
      <x:c r="B9" s="13" t="str">
        <x:v>Paints, Coatings, Inks &amp; Adhesives</x:v>
      </x:c>
      <x:c r="C9" s="13" t="str">
        <x:v>Processor / Manufacturer</x:v>
      </x:c>
      <x:c r="D9" s="13" t="str">
        <x:v>Resins, pigments, solvents, additives</x:v>
      </x:c>
      <x:c r="E9" s="13" t="str">
        <x:v>Paints, coatings, inks, adhesives</x:v>
      </x:c>
      <x:c r="F9" s="13" t="str">
        <x:v>Off-spec product suitable for controlled recovery</x:v>
      </x:c>
      <x:c r="G9" s="13" t="str">
        <x:v>Solvent residues, paint/ink sludge, reusable containers</x:v>
      </x:c>
      <x:c r="H9" s="13" t="str">
        <x:v>Unrecoverable hazardous sludge</x:v>
      </x:c>
      <x:c r="I9" s="13" t="str">
        <x:v>Recovery / hazardous-waste processor</x:v>
      </x:c>
      <x:c r="J9" s="13" t="str">
        <x:v>Recovered coating material</x:v>
      </x:c>
      <x:c r="K9" s="13" t="str">
        <x:v>Segregate solvent and water-based streams.</x:v>
      </x:c>
    </x:row>
    <x:row r="10">
      <x:c r="A10" s="13" t="str">
        <x:v>1. Chemical, Petrochemical &amp; Pharmaceutical</x:v>
      </x:c>
      <x:c r="B10" s="13" t="str">
        <x:v>Pharmaceuticals / APIs</x:v>
      </x:c>
      <x:c r="C10" s="13" t="str">
        <x:v>Processor / Manufacturer</x:v>
      </x:c>
      <x:c r="D10" s="13" t="str">
        <x:v>Chemical intermediates, solvents, reagents, water</x:v>
      </x:c>
      <x:c r="E10" s="13" t="str">
        <x:v>APIs, bulk drugs, formulations</x:v>
      </x:c>
      <x:c r="F10" s="13" t="str">
        <x:v>Recovered solvent / selected process chemicals</x:v>
      </x:c>
      <x:c r="G10" s="13" t="str">
        <x:v>Spent solvent, mother liquor, rejected formulations</x:v>
      </x:c>
      <x:c r="H10" s="13" t="str">
        <x:v>Hazardous process sludge / contaminated material</x:v>
      </x:c>
      <x:c r="I10" s="13" t="str">
        <x:v>Authorised hazardous-waste processor</x:v>
      </x:c>
      <x:c r="J10" s="13" t="str">
        <x:v>Recovered solvent / regulated residue</x:v>
      </x:c>
      <x:c r="K10" s="13" t="str">
        <x:v>Unit-specific waste characterization is essential.</x:v>
      </x:c>
    </x:row>
    <x:row r="11">
      <x:c r="A11" s="13" t="str">
        <x:v>1. Chemical, Petrochemical &amp; Pharmaceutical</x:v>
      </x:c>
      <x:c r="B11" s="13" t="str">
        <x:v>Detergents, Soaps &amp; Cleaning Chemicals</x:v>
      </x:c>
      <x:c r="C11" s="13" t="str">
        <x:v>Processor / Manufacturer</x:v>
      </x:c>
      <x:c r="D11" s="13" t="str">
        <x:v>Surfactants, oils/fats, alkalis, additives</x:v>
      </x:c>
      <x:c r="E11" s="13" t="str">
        <x:v>Detergents, soaps, cleaners, phenyl</x:v>
      </x:c>
      <x:c r="F11" s="13" t="str">
        <x:v>Off-spec formulation suitable for controlled rework</x:v>
      </x:c>
      <x:c r="G11" s="13" t="str">
        <x:v>Packaging waste, formulation residues</x:v>
      </x:c>
      <x:c r="H11" s="13" t="str">
        <x:v>Treatment sludge / contaminated residues</x:v>
      </x:c>
      <x:c r="I11" s="13" t="str">
        <x:v>Chemical reprocessor / waste handler</x:v>
      </x:c>
      <x:c r="J11" s="13" t="str">
        <x:v>Chemical formulation / packaging scrap</x:v>
      </x:c>
      <x:c r="K11" s="13" t="str">
        <x:v>Wastewater characteristics vary by formulation.</x:v>
      </x:c>
    </x:row>
    <x:row r="12">
      <x:c r="A12" s="13" t="str">
        <x:v>1. Chemical, Petrochemical &amp; Pharmaceutical</x:v>
      </x:c>
      <x:c r="B12" s="13" t="str">
        <x:v>Industrial Solvent Recovery</x:v>
      </x:c>
      <x:c r="C12" s="13" t="str">
        <x:v>Recovery Processor</x:v>
      </x:c>
      <x:c r="D12" s="13" t="str">
        <x:v>Spent solvents / mixed solvent streams</x:v>
      </x:c>
      <x:c r="E12" s="13" t="str">
        <x:v>Recovered solvent fractions</x:v>
      </x:c>
      <x:c r="F12" s="13" t="str">
        <x:v>Recovered solvent by grade</x:v>
      </x:c>
      <x:c r="G12" s="13" t="str">
        <x:v>Still bottoms, spent filters, contaminated adsorbents</x:v>
      </x:c>
      <x:c r="H12" s="13" t="str">
        <x:v>Unrecoverable hazardous residue</x:v>
      </x:c>
      <x:c r="I12" s="13" t="str">
        <x:v>Chemical recovery / hazardous-waste processor</x:v>
      </x:c>
      <x:c r="J12" s="13" t="str">
        <x:v>Recovered solvent</x:v>
      </x:c>
      <x:c r="K12" s="13" t="str">
        <x:v>High-value circular stream where purity is controlled.</x:v>
      </x:c>
    </x:row>
    <x:row r="13">
      <x:c r="A13" s="13" t="str">
        <x:v>2. Metallurgical, Foundry &amp; Heavy Metal Industries</x:v>
      </x:c>
      <x:c r="B13" s="13" t="str">
        <x:v>Integrated Iron &amp; Steel</x:v>
      </x:c>
      <x:c r="C13" s="13" t="str">
        <x:v>Manufacturer</x:v>
      </x:c>
      <x:c r="D13" s="13" t="str">
        <x:v>Iron ore, coke, flux, scrap</x:v>
      </x:c>
      <x:c r="E13" s="13" t="str">
        <x:v>Pig iron, steel, billets, slabs</x:v>
      </x:c>
      <x:c r="F13" s="13" t="str">
        <x:v>Steelmaking slag / recovered minerals where accepted</x:v>
      </x:c>
      <x:c r="G13" s="13" t="str">
        <x:v>Mill scale, metallic scrap, dust</x:v>
      </x:c>
      <x:c r="H13" s="13" t="str">
        <x:v>Sludge, spent refractory, mixed residues</x:v>
      </x:c>
      <x:c r="I13" s="13" t="str">
        <x:v>Slag processor / metal recycler</x:v>
      </x:c>
      <x:c r="J13" s="13" t="str">
        <x:v>Ferrous secondary raw material</x:v>
      </x:c>
      <x:c r="K13" s="13" t="str">
        <x:v>By-product status depends on specification and approved reuse.</x:v>
      </x:c>
    </x:row>
    <x:row r="14">
      <x:c r="A14" s="13" t="str">
        <x:v>2. Metallurgical, Foundry &amp; Heavy Metal Industries</x:v>
      </x:c>
      <x:c r="B14" s="13" t="str">
        <x:v>Sponge Iron / DRI</x:v>
      </x:c>
      <x:c r="C14" s="13" t="str">
        <x:v>Manufacturer</x:v>
      </x:c>
      <x:c r="D14" s="13" t="str">
        <x:v>Iron ore/pellets, reducing agent/fuel</x:v>
      </x:c>
      <x:c r="E14" s="13" t="str">
        <x:v>Sponge iron / DRI</x:v>
      </x:c>
      <x:c r="F14" s="13" t="str">
        <x:v>Char / recovered iron-bearing material where suitable</x:v>
      </x:c>
      <x:c r="G14" s="13" t="str">
        <x:v>DRI dust, iron-rich fines</x:v>
      </x:c>
      <x:c r="H14" s="13" t="str">
        <x:v>Ash, kiln accretion, spent refractory</x:v>
      </x:c>
      <x:c r="I14" s="13" t="str">
        <x:v>Metal recycler / mineral processor</x:v>
      </x:c>
      <x:c r="J14" s="13" t="str">
        <x:v>Iron-rich secondary material</x:v>
      </x:c>
      <x:c r="K14" s="13" t="str">
        <x:v>Segregate iron-rich fines.</x:v>
      </x:c>
    </x:row>
    <x:row r="15">
      <x:c r="A15" s="13" t="str">
        <x:v>2. Metallurgical, Foundry &amp; Heavy Metal Industries</x:v>
      </x:c>
      <x:c r="B15" s="13" t="str">
        <x:v>Secondary Ferrous Metal Processing</x:v>
      </x:c>
      <x:c r="C15" s="13" t="str">
        <x:v>Recycler / Processor</x:v>
      </x:c>
      <x:c r="D15" s="13" t="str">
        <x:v>Ferrous scrap, turnings, metal rejects</x:v>
      </x:c>
      <x:c r="E15" s="13" t="str">
        <x:v>Ingots, billets, castings, rolled products</x:v>
      </x:c>
      <x:c r="F15" s="13" t="str">
        <x:v>Steel slag, mill scale, recoverable scrap fractions</x:v>
      </x:c>
      <x:c r="G15" s="13" t="str">
        <x:v>Metallic offcuts, furnace dust</x:v>
      </x:c>
      <x:c r="H15" s="13" t="str">
        <x:v>Foundry slag / spent refractory</x:v>
      </x:c>
      <x:c r="I15" s="13" t="str">
        <x:v>Metal recycler / slag processor</x:v>
      </x:c>
      <x:c r="J15" s="13" t="str">
        <x:v>Ferrous scrap / secondary metal</x:v>
      </x:c>
      <x:c r="K15" s="13" t="str">
        <x:v>Alloy segregation is commercially important.</x:v>
      </x:c>
    </x:row>
    <x:row r="16">
      <x:c r="A16" s="13" t="str">
        <x:v>2. Metallurgical, Foundry &amp; Heavy Metal Industries</x:v>
      </x:c>
      <x:c r="B16" s="13" t="str">
        <x:v>Foundries</x:v>
      </x:c>
      <x:c r="C16" s="13" t="str">
        <x:v>Processor / Manufacturer</x:v>
      </x:c>
      <x:c r="D16" s="13" t="str">
        <x:v>Metal scrap, alloys, moulding sand</x:v>
      </x:c>
      <x:c r="E16" s="13" t="str">
        <x:v>Castings / metal components</x:v>
      </x:c>
      <x:c r="F16" s="13" t="str">
        <x:v>Spent foundry sand suitable for approved reuse; runners/risers</x:v>
      </x:c>
      <x:c r="G16" s="13" t="str">
        <x:v>Metal dross, shot/blast media</x:v>
      </x:c>
      <x:c r="H16" s="13" t="str">
        <x:v>Contaminated sand / dust / refractory waste</x:v>
      </x:c>
      <x:c r="I16" s="13" t="str">
        <x:v>Foundry-sand recycler / metal recycler</x:v>
      </x:c>
      <x:c r="J16" s="13" t="str">
        <x:v>Foundry sand / metal scrap</x:v>
      </x:c>
      <x:c r="K16" s="13" t="str">
        <x:v>Reuse depends on contamination and end use.</x:v>
      </x:c>
    </x:row>
    <x:row r="17">
      <x:c r="A17" s="13" t="str">
        <x:v>2. Metallurgical, Foundry &amp; Heavy Metal Industries</x:v>
      </x:c>
      <x:c r="B17" s="13" t="str">
        <x:v>Forging &amp; Heat Treatment</x:v>
      </x:c>
      <x:c r="C17" s="13" t="str">
        <x:v>Processor / Manufacturer</x:v>
      </x:c>
      <x:c r="D17" s="13" t="str">
        <x:v>Steel/aluminium billets, bars, components</x:v>
      </x:c>
      <x:c r="E17" s="13" t="str">
        <x:v>Forged and heat-treated components</x:v>
      </x:c>
      <x:c r="F17" s="13" t="str">
        <x:v>Metal offcuts, scale for metal recovery</x:v>
      </x:c>
      <x:c r="G17" s="13" t="str">
        <x:v>Grinding dust, machining scrap, used oil/coolant</x:v>
      </x:c>
      <x:c r="H17" s="13" t="str">
        <x:v>Contaminated absorbents / treatment residues</x:v>
      </x:c>
      <x:c r="I17" s="13" t="str">
        <x:v>Metal recycler / used-oil processor</x:v>
      </x:c>
      <x:c r="J17" s="13" t="str">
        <x:v>Metal scrap / recovery stream</x:v>
      </x:c>
      <x:c r="K17" s="13" t="str">
        <x:v>Keep alloy grades segregated.</x:v>
      </x:c>
    </x:row>
    <x:row r="18">
      <x:c r="A18" s="13" t="str">
        <x:v>2. Metallurgical, Foundry &amp; Heavy Metal Industries</x:v>
      </x:c>
      <x:c r="B18" s="13" t="str">
        <x:v>Metal Rolling / Wire Drawing / Fabrication</x:v>
      </x:c>
      <x:c r="C18" s="13" t="str">
        <x:v>Processor / Manufacturer</x:v>
      </x:c>
      <x:c r="D18" s="13" t="str">
        <x:v>Billets, coils, wire rod, sheets</x:v>
      </x:c>
      <x:c r="E18" s="13" t="str">
        <x:v>Bars, sheets, wire, fabricated products</x:v>
      </x:c>
      <x:c r="F18" s="13" t="str">
        <x:v>Metal trimmings, offcuts, scale</x:v>
      </x:c>
      <x:c r="G18" s="13" t="str">
        <x:v>Machining swarf, grinding dust</x:v>
      </x:c>
      <x:c r="H18" s="13" t="str">
        <x:v>Oil-contaminated residues</x:v>
      </x:c>
      <x:c r="I18" s="13" t="str">
        <x:v>Metal recycler / oil recovery</x:v>
      </x:c>
      <x:c r="J18" s="13" t="str">
        <x:v>Ferrous/non-ferrous scrap</x:v>
      </x:c>
      <x:c r="K18" s="13" t="str">
        <x:v>Separate dry metal from oily swarf.</x:v>
      </x:c>
    </x:row>
    <x:row r="19">
      <x:c r="A19" s="13" t="str">
        <x:v>2. Metallurgical, Foundry &amp; Heavy Metal Industries</x:v>
      </x:c>
      <x:c r="B19" s="13" t="str">
        <x:v>Surface Treatment &amp; Electroplating</x:v>
      </x:c>
      <x:c r="C19" s="13" t="str">
        <x:v>Processor / Finisher</x:v>
      </x:c>
      <x:c r="D19" s="13" t="str">
        <x:v>Metal components, acids, plating chemicals</x:v>
      </x:c>
      <x:c r="E19" s="13" t="str">
        <x:v>Plated / anodized / treated components</x:v>
      </x:c>
      <x:c r="F19" s="13" t="str">
        <x:v>Recovered metal-bearing solutions where permitted</x:v>
      </x:c>
      <x:c r="G19" s="13" t="str">
        <x:v>Metal-bearing sludge, spent acids/alkalis</x:v>
      </x:c>
      <x:c r="H19" s="13" t="str">
        <x:v>Contaminated filter media / treatment sludge</x:v>
      </x:c>
      <x:c r="I19" s="13" t="str">
        <x:v>Authorised metal recovery / hazardous-waste processor</x:v>
      </x:c>
      <x:c r="J19" s="13" t="str">
        <x:v>Metal-bearing secondary material / regulated residue</x:v>
      </x:c>
      <x:c r="K19" s="13" t="str">
        <x:v>Regulatory status depends on composition and process.</x:v>
      </x:c>
    </x:row>
    <x:row r="20">
      <x:c r="A20" s="13" t="str">
        <x:v>2. Metallurgical, Foundry &amp; Heavy Metal Industries</x:v>
      </x:c>
      <x:c r="B20" s="13" t="str">
        <x:v>Aluminium Smelting / Secondary Aluminium</x:v>
      </x:c>
      <x:c r="C20" s="13" t="str">
        <x:v>Processor / Recycler</x:v>
      </x:c>
      <x:c r="D20" s="13" t="str">
        <x:v>Aluminium scrap, alumina, flux</x:v>
      </x:c>
      <x:c r="E20" s="13" t="str">
        <x:v>Aluminium ingots / billets</x:v>
      </x:c>
      <x:c r="F20" s="13" t="str">
        <x:v>Aluminium dross / skimmings where recovery is available</x:v>
      </x:c>
      <x:c r="G20" s="13" t="str">
        <x:v>Metallic scrap, machining swarf</x:v>
      </x:c>
      <x:c r="H20" s="13" t="str">
        <x:v>Salt slag / contaminated residues</x:v>
      </x:c>
      <x:c r="I20" s="13" t="str">
        <x:v>Dross processor / non-ferrous metal recycler</x:v>
      </x:c>
      <x:c r="J20" s="13" t="str">
        <x:v>Secondary aluminium / dross</x:v>
      </x:c>
      <x:c r="K20" s="13" t="str">
        <x:v>Dross recovery should be a separate material route.</x:v>
      </x:c>
    </x:row>
    <x:row r="21">
      <x:c r="A21" s="13" t="str">
        <x:v>2. Metallurgical, Foundry &amp; Heavy Metal Industries</x:v>
      </x:c>
      <x:c r="B21" s="13" t="str">
        <x:v>Copper Processing &amp; Recycling</x:v>
      </x:c>
      <x:c r="C21" s="13" t="str">
        <x:v>Processor / Recycler</x:v>
      </x:c>
      <x:c r="D21" s="13" t="str">
        <x:v>Copper scrap, insulated wire, copper-bearing residues</x:v>
      </x:c>
      <x:c r="E21" s="13" t="str">
        <x:v>Copper metal / rods / refined fractions</x:v>
      </x:c>
      <x:c r="F21" s="13" t="str">
        <x:v>Copper-bearing dross, brass/copper fractions</x:v>
      </x:c>
      <x:c r="G21" s="13" t="str">
        <x:v>Insulation/plastic fraction, dust</x:v>
      </x:c>
      <x:c r="H21" s="13" t="str">
        <x:v>Slag / metal-bearing sludge</x:v>
      </x:c>
      <x:c r="I21" s="13" t="str">
        <x:v>Copper recycler / metal recovery</x:v>
      </x:c>
      <x:c r="J21" s="13" t="str">
        <x:v>Copper scrap / granules / secondary metal</x:v>
      </x:c>
      <x:c r="K21" s="13" t="str">
        <x:v>Cable stripping and granulation can be separate users.</x:v>
      </x:c>
    </x:row>
    <x:row r="22">
      <x:c r="A22" s="13" t="str">
        <x:v>2. Metallurgical, Foundry &amp; Heavy Metal Industries</x:v>
      </x:c>
      <x:c r="B22" s="13" t="str">
        <x:v>Zinc / Lead / Other Non-Ferrous Recovery</x:v>
      </x:c>
      <x:c r="C22" s="13" t="str">
        <x:v>Processor / Recycler</x:v>
      </x:c>
      <x:c r="D22" s="13" t="str">
        <x:v>Metal scrap, dross, skimmings, residues</x:v>
      </x:c>
      <x:c r="E22" s="13" t="str">
        <x:v>Zinc/lead/non-ferrous metal products</x:v>
      </x:c>
      <x:c r="F22" s="13" t="str">
        <x:v>Zinc dross, skimmings, metal-bearing residues</x:v>
      </x:c>
      <x:c r="G22" s="13" t="str">
        <x:v>Dust, ash, metal fractions</x:v>
      </x:c>
      <x:c r="H22" s="13" t="str">
        <x:v>Slag / hazardous residue</x:v>
      </x:c>
      <x:c r="I22" s="13" t="str">
        <x:v>Authorised non-ferrous recovery</x:v>
      </x:c>
      <x:c r="J22" s="13" t="str">
        <x:v>Secondary non-ferrous feedstock</x:v>
      </x:c>
      <x:c r="K22" s="13" t="str">
        <x:v>Legal classification depends on source and composition.</x:v>
      </x:c>
    </x:row>
    <x:row r="23">
      <x:c r="A23" s="13" t="str">
        <x:v>3. Automotive, ELV, Ship Breaking &amp; Mechanical Engineering</x:v>
      </x:c>
      <x:c r="B23" s="13" t="str">
        <x:v>Automobile Manufacturing</x:v>
      </x:c>
      <x:c r="C23" s="13" t="str">
        <x:v>Manufacturer</x:v>
      </x:c>
      <x:c r="D23" s="13" t="str">
        <x:v>Steel, aluminium, plastics, glass, rubber, electronic components</x:v>
      </x:c>
      <x:c r="E23" s="13" t="str">
        <x:v>Vehicles / automotive components</x:v>
      </x:c>
      <x:c r="F23" s="13" t="str">
        <x:v>Production scrap: steel, aluminium, copper, plastics</x:v>
      </x:c>
      <x:c r="G23" s="13" t="str">
        <x:v>Machining swarf, used oils, coolant, packaging</x:v>
      </x:c>
      <x:c r="H23" s="13" t="str">
        <x:v>Contaminated maintenance waste</x:v>
      </x:c>
      <x:c r="I23" s="13" t="str">
        <x:v>Metal/plastic recycler / used-oil processor</x:v>
      </x:c>
      <x:c r="J23" s="13" t="str">
        <x:v>Automotive production scrap</x:v>
      </x:c>
      <x:c r="K23" s="13" t="str">
        <x:v>OEM scrap can be high-quality and traceable.</x:v>
      </x:c>
    </x:row>
    <x:row r="24">
      <x:c r="A24" s="13" t="str">
        <x:v>3. Automotive, ELV, Ship Breaking &amp; Mechanical Engineering</x:v>
      </x:c>
      <x:c r="B24" s="13" t="str">
        <x:v>ELV Dismantling &amp; Depollution</x:v>
      </x:c>
      <x:c r="C24" s="13" t="str">
        <x:v>Pre-processor / Dismantler</x:v>
      </x:c>
      <x:c r="D24" s="13" t="str">
        <x:v>End-of-life vehicles</x:v>
      </x:c>
      <x:c r="E24" s="13" t="str">
        <x:v>Reusable components + segregated ferrous/non-ferrous/plastic streams</x:v>
      </x:c>
      <x:c r="F24" s="13" t="str">
        <x:v>Engines, gearboxes, catalyst-bearing parts, copper, aluminium, steel, plastics, tyres, glass</x:v>
      </x:c>
      <x:c r="G24" s="13" t="str">
        <x:v>Used oil, coolant, batteries, filters</x:v>
      </x:c>
      <x:c r="H24" s="13" t="str">
        <x:v>Airbags, contaminated materials, depollution residues</x:v>
      </x:c>
      <x:c r="I24" s="13" t="str">
        <x:v>Authorised ELV recycler / material recycler</x:v>
      </x:c>
      <x:c r="J24" s="13" t="str">
        <x:v>Dismantled components / segregated scrap</x:v>
      </x:c>
      <x:c r="K24" s="13" t="str">
        <x:v>Depollution precedes material recovery.</x:v>
      </x:c>
    </x:row>
    <x:row r="25">
      <x:c r="A25" s="13" t="str">
        <x:v>3. Automotive, ELV, Ship Breaking &amp; Mechanical Engineering</x:v>
      </x:c>
      <x:c r="B25" s="13" t="str">
        <x:v>Vehicle Shredding</x:v>
      </x:c>
      <x:c r="C25" s="13" t="str">
        <x:v>Processor / Recycler</x:v>
      </x:c>
      <x:c r="D25" s="13" t="str">
        <x:v>Prepared ELV shells / ferrous-heavy scrap</x:v>
      </x:c>
      <x:c r="E25" s="13" t="str">
        <x:v>Ferrous and non-ferrous recovered metals</x:v>
      </x:c>
      <x:c r="F25" s="13" t="str">
        <x:v>Ferrous scrap, aluminium, copper, selected plastics</x:v>
      </x:c>
      <x:c r="G25" s="13" t="str">
        <x:v>Glass, rubber, mixed plastics</x:v>
      </x:c>
      <x:c r="H25" s="13" t="str">
        <x:v>Automotive shredder residue</x:v>
      </x:c>
      <x:c r="I25" s="13" t="str">
        <x:v>Metal recycler / residual handler</x:v>
      </x:c>
      <x:c r="J25" s="13" t="str">
        <x:v>Shred-derived metals / mixed polymer fraction</x:v>
      </x:c>
      <x:c r="K25" s="13" t="str">
        <x:v>Track shredder residue separately.</x:v>
      </x:c>
    </x:row>
    <x:row r="26">
      <x:c r="A26" s="13" t="str">
        <x:v>3. Automotive, ELV, Ship Breaking &amp; Mechanical Engineering</x:v>
      </x:c>
      <x:c r="B26" s="13" t="str">
        <x:v>Engineering &amp; Fabrication</x:v>
      </x:c>
      <x:c r="C26" s="13" t="str">
        <x:v>Processor / Manufacturer</x:v>
      </x:c>
      <x:c r="D26" s="13" t="str">
        <x:v>Metal sheets, sections, bars, bought-out components</x:v>
      </x:c>
      <x:c r="E26" s="13" t="str">
        <x:v>Industrial equipment / fabricated assemblies</x:v>
      </x:c>
      <x:c r="F26" s="13" t="str">
        <x:v>Steel/aluminium offcuts, machining swarf</x:v>
      </x:c>
      <x:c r="G26" s="13" t="str">
        <x:v>Grinding dust, welding consumables, packaging</x:v>
      </x:c>
      <x:c r="H26" s="13" t="str">
        <x:v>Contaminated absorbents / mixed residue</x:v>
      </x:c>
      <x:c r="I26" s="13" t="str">
        <x:v>Metal recycler / waste handler</x:v>
      </x:c>
      <x:c r="J26" s="13" t="str">
        <x:v>Metal scrap</x:v>
      </x:c>
      <x:c r="K26" s="13" t="str">
        <x:v>Often clean, high-grade industrial scrap.</x:v>
      </x:c>
    </x:row>
    <x:row r="27">
      <x:c r="A27" s="13" t="str">
        <x:v>3. Automotive, ELV, Ship Breaking &amp; Mechanical Engineering</x:v>
      </x:c>
      <x:c r="B27" s="13" t="str">
        <x:v>Ship Breaking</x:v>
      </x:c>
      <x:c r="C27" s="13" t="str">
        <x:v>Dismantler / Pre-processor</x:v>
      </x:c>
      <x:c r="D27" s="13" t="str">
        <x:v>End-of-life vessels</x:v>
      </x:c>
      <x:c r="E27" s="13" t="str">
        <x:v>Steel plate, machinery, copper, aluminium, reusable equipment</x:v>
      </x:c>
      <x:c r="F27" s="13" t="str">
        <x:v>Ferrous/non-ferrous scrap, machinery, reusable fittings</x:v>
      </x:c>
      <x:c r="G27" s="13" t="str">
        <x:v>Used oil, oily sludge, electrical/electronic scrap</x:v>
      </x:c>
      <x:c r="H27" s="13" t="str">
        <x:v>Asbestos/paint/insulation contaminated residues where present</x:v>
      </x:c>
      <x:c r="I27" s="13" t="str">
        <x:v>Authorised recycling / hazardous-waste routes</x:v>
      </x:c>
      <x:c r="J27" s="13" t="str">
        <x:v>Ferrous/non-ferrous scrap / reused equipment</x:v>
      </x:c>
      <x:c r="K27" s="13" t="str">
        <x:v>Hazardous materials require controlled routing.</x:v>
      </x:c>
    </x:row>
    <x:row r="28">
      <x:c r="A28" s="13" t="str">
        <x:v>4. Electronics, Semiconductors, Batteries, E-Waste &amp; Solar</x:v>
      </x:c>
      <x:c r="B28" s="13" t="str">
        <x:v>Semiconductor Front-End Fabrication</x:v>
      </x:c>
      <x:c r="C28" s="13" t="str">
        <x:v>High-spec Manufacturer</x:v>
      </x:c>
      <x:c r="D28" s="13" t="str">
        <x:v>Silicon wafers, photoresists, process chemicals, gases</x:v>
      </x:c>
      <x:c r="E28" s="13" t="str">
        <x:v>Processed semiconductor wafers / dies</x:v>
      </x:c>
      <x:c r="F28" s="13" t="str">
        <x:v>Silicon wafer scrap, recoverable metals/chemicals where feasible</x:v>
      </x:c>
      <x:c r="G28" s="13" t="str">
        <x:v>Broken wafers, metal-bearing process residues, solvent/chemical streams</x:v>
      </x:c>
      <x:c r="H28" s="13" t="str">
        <x:v>Process sludge, contaminated consumables</x:v>
      </x:c>
      <x:c r="I28" s="13" t="str">
        <x:v>Specialist material recovery / authorised processor</x:v>
      </x:c>
      <x:c r="J28" s="13" t="str">
        <x:v>Silicon scrap / process residue</x:v>
      </x:c>
      <x:c r="K28" s="13" t="str">
        <x:v>Actual recoverability is process-specific.</x:v>
      </x:c>
    </x:row>
    <x:row r="29">
      <x:c r="A29" s="13" t="str">
        <x:v>4. Electronics, Semiconductors, Batteries, E-Waste &amp; Solar</x:v>
      </x:c>
      <x:c r="B29" s="13" t="str">
        <x:v>Semiconductor Packaging / ATMP</x:v>
      </x:c>
      <x:c r="C29" s="13" t="str">
        <x:v>Processor / Manufacturer</x:v>
      </x:c>
      <x:c r="D29" s="13" t="str">
        <x:v>Bare dies, lead frames, substrates, moulding compounds</x:v>
      </x:c>
      <x:c r="E29" s="13" t="str">
        <x:v>Packaged/tested semiconductor devices</x:v>
      </x:c>
      <x:c r="F29" s="13" t="str">
        <x:v>Lead-frame metal, packaging scrap, rejected components</x:v>
      </x:c>
      <x:c r="G29" s="13" t="str">
        <x:v>Solder residues, moulding-compound scrap</x:v>
      </x:c>
      <x:c r="H29" s="13" t="str">
        <x:v>Contaminated process consumables</x:v>
      </x:c>
      <x:c r="I29" s="13" t="str">
        <x:v>Metal/plastic recycler / specialist recovery</x:v>
      </x:c>
      <x:c r="J29" s="13" t="str">
        <x:v>Electronic production scrap</x:v>
      </x:c>
      <x:c r="K29" s="13" t="str">
        <x:v>Lot/grade traceability can add value.</x:v>
      </x:c>
    </x:row>
    <x:row r="30">
      <x:c r="A30" s="13" t="str">
        <x:v>4. Electronics, Semiconductors, Batteries, E-Waste &amp; Solar</x:v>
      </x:c>
      <x:c r="B30" s="13" t="str">
        <x:v>PCB Manufacturing &amp; Electronics Assembly</x:v>
      </x:c>
      <x:c r="C30" s="13" t="str">
        <x:v>Manufacturer</x:v>
      </x:c>
      <x:c r="D30" s="13" t="str">
        <x:v>Copper-clad laminates, components, solder, plastics</x:v>
      </x:c>
      <x:c r="E30" s="13" t="str">
        <x:v>PCBs / electronic assemblies</x:v>
      </x:c>
      <x:c r="F30" s="13" t="str">
        <x:v>Copper-bearing scrap, rejected boards, component scrap</x:v>
      </x:c>
      <x:c r="G30" s="13" t="str">
        <x:v>Solder dross, mixed electronic rejects, packaging</x:v>
      </x:c>
      <x:c r="H30" s="13" t="str">
        <x:v>Chemical/process residues</x:v>
      </x:c>
      <x:c r="I30" s="13" t="str">
        <x:v>E-waste / metal recovery / authorised handler</x:v>
      </x:c>
      <x:c r="J30" s="13" t="str">
        <x:v>PCB scrap / copper-bearing scrap</x:v>
      </x:c>
      <x:c r="K30" s="13" t="str">
        <x:v>Keep PCB grade and solder composition identifiable.</x:v>
      </x:c>
    </x:row>
    <x:row r="31">
      <x:c r="A31" s="13" t="str">
        <x:v>4. Electronics, Semiconductors, Batteries, E-Waste &amp; Solar</x:v>
      </x:c>
      <x:c r="B31" s="13" t="str">
        <x:v>E-Waste Dismantling</x:v>
      </x:c>
      <x:c r="C31" s="13" t="str">
        <x:v>Pre-processor / Dismantler</x:v>
      </x:c>
      <x:c r="D31" s="13" t="str">
        <x:v>Waste electrical and electronic equipment</x:v>
      </x:c>
      <x:c r="E31" s="13" t="str">
        <x:v>Segregated PCB, ferrous, non-ferrous, plastics, glass, reusable parts</x:v>
      </x:c>
      <x:c r="F31" s="13" t="str">
        <x:v>Copper, aluminium, ferrous metal, PCB, cables, reusable components</x:v>
      </x:c>
      <x:c r="G31" s="13" t="str">
        <x:v>Low-value mixed plastics, damaged components</x:v>
      </x:c>
      <x:c r="H31" s="13" t="str">
        <x:v>Hazardous fractions and residues</x:v>
      </x:c>
      <x:c r="I31" s="13" t="str">
        <x:v>Authorised e-waste recycler / specialist refiner</x:v>
      </x:c>
      <x:c r="J31" s="13" t="str">
        <x:v>Dismantled e-waste fractions</x:v>
      </x:c>
      <x:c r="K31" s="13" t="str">
        <x:v>Authorised routing is critical.</x:v>
      </x:c>
    </x:row>
    <x:row r="32">
      <x:c r="A32" s="13" t="str">
        <x:v>4. Electronics, Semiconductors, Batteries, E-Waste &amp; Solar</x:v>
      </x:c>
      <x:c r="B32" s="13" t="str">
        <x:v>E-Waste Recycling / Metal Recovery</x:v>
      </x:c>
      <x:c r="C32" s="13" t="str">
        <x:v>Recycler / Recovery Processor</x:v>
      </x:c>
      <x:c r="D32" s="13" t="str">
        <x:v>PCB, cable, e-waste fractions, metal-rich residues</x:v>
      </x:c>
      <x:c r="E32" s="13" t="str">
        <x:v>Recovered metals / separated material fractions</x:v>
      </x:c>
      <x:c r="F32" s="13" t="str">
        <x:v>Copper, aluminium, precious metals, plastics, glass</x:v>
      </x:c>
      <x:c r="G32" s="13" t="str">
        <x:v>Leach residues, spent process chemicals</x:v>
      </x:c>
      <x:c r="H32" s="13" t="str">
        <x:v>Metal-bearing sludge / slag / spent media</x:v>
      </x:c>
      <x:c r="I32" s="13" t="str">
        <x:v>Specialist refiner / authorised route</x:v>
      </x:c>
      <x:c r="J32" s="13" t="str">
        <x:v>Recovered metal / refined fraction</x:v>
      </x:c>
      <x:c r="K32" s="13" t="str">
        <x:v>Recovery technology varies by feedstock.</x:v>
      </x:c>
    </x:row>
    <x:row r="33">
      <x:c r="A33" s="13" t="str">
        <x:v>4. Electronics, Semiconductors, Batteries, E-Waste &amp; Solar</x:v>
      </x:c>
      <x:c r="B33" s="13" t="str">
        <x:v>Lead-Acid Battery Recycling</x:v>
      </x:c>
      <x:c r="C33" s="13" t="str">
        <x:v>Recycler / Recovery Processor</x:v>
      </x:c>
      <x:c r="D33" s="13" t="str">
        <x:v>Used lead-acid batteries / battery scrap</x:v>
      </x:c>
      <x:c r="E33" s="13" t="str">
        <x:v>Recovered lead / alloys and polypropylene</x:v>
      </x:c>
      <x:c r="F33" s="13" t="str">
        <x:v>Lead alloy, polypropylene casing, electrolyte where feasible</x:v>
      </x:c>
      <x:c r="G33" s="13" t="str">
        <x:v>Battery paste / lead-bearing process residues</x:v>
      </x:c>
      <x:c r="H33" s="13" t="str">
        <x:v>Slag, contaminated sludge, treatment residues</x:v>
      </x:c>
      <x:c r="I33" s="13" t="str">
        <x:v>Lead recycler / authorised processor</x:v>
      </x:c>
      <x:c r="J33" s="13" t="str">
        <x:v>Secondary lead / PP / battery fraction</x:v>
      </x:c>
      <x:c r="K33" s="13" t="str">
        <x:v>Controlled processing and segregation required.</x:v>
      </x:c>
    </x:row>
    <x:row r="34">
      <x:c r="A34" s="13" t="str">
        <x:v>4. Electronics, Semiconductors, Batteries, E-Waste &amp; Solar</x:v>
      </x:c>
      <x:c r="B34" s="13" t="str">
        <x:v>Other Battery Recycling</x:v>
      </x:c>
      <x:c r="C34" s="13" t="str">
        <x:v>Recycler / Recovery Processor</x:v>
      </x:c>
      <x:c r="D34" s="13" t="str">
        <x:v>Spent batteries / battery components</x:v>
      </x:c>
      <x:c r="E34" s="13" t="str">
        <x:v>Recovered metal / battery-material fractions</x:v>
      </x:c>
      <x:c r="F34" s="13" t="str">
        <x:v>Nickel/cobalt/lithium-bearing or other recoverable fractions where applicable</x:v>
      </x:c>
      <x:c r="G34" s="13" t="str">
        <x:v>Black mass / separated battery materials</x:v>
      </x:c>
      <x:c r="H34" s="13" t="str">
        <x:v>Electrolyte, contaminated fines, treatment residues</x:v>
      </x:c>
      <x:c r="I34" s="13" t="str">
        <x:v>Battery-material refiner / authorised handler</x:v>
      </x:c>
      <x:c r="J34" s="13" t="str">
        <x:v>Battery secondary material</x:v>
      </x:c>
      <x:c r="K34" s="13" t="str">
        <x:v>Battery chemistry must be captured.</x:v>
      </x:c>
    </x:row>
    <x:row r="35">
      <x:c r="A35" s="13" t="str">
        <x:v>4. Electronics, Semiconductors, Batteries, E-Waste &amp; Solar</x:v>
      </x:c>
      <x:c r="B35" s="13" t="str">
        <x:v>Solar PV Module Recovery</x:v>
      </x:c>
      <x:c r="C35" s="13" t="str">
        <x:v>Pre-processor / Recycler</x:v>
      </x:c>
      <x:c r="D35" s="13" t="str">
        <x:v>End-of-life or damaged PV modules</x:v>
      </x:c>
      <x:c r="E35" s="13" t="str">
        <x:v>Recovered glass, aluminium, copper, selected fractions</x:v>
      </x:c>
      <x:c r="F35" s="13" t="str">
        <x:v>Glass cullet, aluminium frame, copper cable, junction-box materials</x:v>
      </x:c>
      <x:c r="G35" s="13" t="str">
        <x:v>Polymer encapsulant fraction, cell scrap</x:v>
      </x:c>
      <x:c r="H35" s="13" t="str">
        <x:v>Mixed residual polymer / contaminated fractions</x:v>
      </x:c>
      <x:c r="I35" s="13" t="str">
        <x:v>Glass/metal recycler / specialist PV recovery</x:v>
      </x:c>
      <x:c r="J35" s="13" t="str">
        <x:v>PV dismantled fractions</x:v>
      </x:c>
      <x:c r="K35" s="13" t="str">
        <x:v>Module design/chemistry affects recovery.</x:v>
      </x:c>
    </x:row>
    <x:row r="36">
      <x:c r="A36" s="13" t="str">
        <x:v>5. Plastics, Synthetic Fibre, Rubber &amp; Tyres</x:v>
      </x:c>
      <x:c r="B36" s="13" t="str">
        <x:v>PET Collection &amp; Baling</x:v>
      </x:c>
      <x:c r="C36" s="13" t="str">
        <x:v>Collector / Yard / Aggregator</x:v>
      </x:c>
      <x:c r="D36" s="13" t="str">
        <x:v>Post-consumer PET bottles</x:v>
      </x:c>
      <x:c r="E36" s="13" t="str">
        <x:v>Sorted PET bottles / PET bales</x:v>
      </x:c>
      <x:c r="F36" s="13" t="str">
        <x:v>PET bottle bales; segregated caps/closures if separated</x:v>
      </x:c>
      <x:c r="G36" s="13" t="str">
        <x:v>Labels, mixed polymer contamination</x:v>
      </x:c>
      <x:c r="H36" s="13" t="str">
        <x:v>Dirt, non-recyclable contamination</x:v>
      </x:c>
      <x:c r="I36" s="13" t="str">
        <x:v>PET flake pre-processor</x:v>
      </x:c>
      <x:c r="J36" s="13" t="str">
        <x:v>PET bale</x:v>
      </x:c>
      <x:c r="K36" s="13" t="str">
        <x:v>Core model: consumer → yard → pre-processor.</x:v>
      </x:c>
    </x:row>
    <x:row r="37">
      <x:c r="A37" s="13" t="str">
        <x:v>5. Plastics, Synthetic Fibre, Rubber &amp; Tyres</x:v>
      </x:c>
      <x:c r="B37" s="13" t="str">
        <x:v>PET Flake Manufacturing</x:v>
      </x:c>
      <x:c r="C37" s="13" t="str">
        <x:v>Pre-processor</x:v>
      </x:c>
      <x:c r="D37" s="13" t="str">
        <x:v>PET bottle bales</x:v>
      </x:c>
      <x:c r="E37" s="13" t="str">
        <x:v>Raw PET flakes</x:v>
      </x:c>
      <x:c r="F37" s="13" t="str">
        <x:v>Bottle cap/closure fraction, labels, ferrous/non-ferrous pickup fractions</x:v>
      </x:c>
      <x:c r="G37" s="13" t="str">
        <x:v>PET fines / mixed polymer rejects</x:v>
      </x:c>
      <x:c r="H37" s="13" t="str">
        <x:v>Dirt-heavy residuals</x:v>
      </x:c>
      <x:c r="I37" s="13" t="str">
        <x:v>PET washing unit / recycler</x:v>
      </x:c>
      <x:c r="J37" s="13" t="str">
        <x:v>Raw PET flakes</x:v>
      </x:c>
      <x:c r="K37" s="13" t="str">
        <x:v>Grade by polymer, colour and contamination.</x:v>
      </x:c>
    </x:row>
    <x:row r="38">
      <x:c r="A38" s="13" t="str">
        <x:v>5. Plastics, Synthetic Fibre, Rubber &amp; Tyres</x:v>
      </x:c>
      <x:c r="B38" s="13" t="str">
        <x:v>PET Washing</x:v>
      </x:c>
      <x:c r="C38" s="13" t="str">
        <x:v>Pre-processor</x:v>
      </x:c>
      <x:c r="D38" s="13" t="str">
        <x:v>Raw PET flakes</x:v>
      </x:c>
      <x:c r="E38" s="13" t="str">
        <x:v>Cold-washed or hot-washed PET flakes</x:v>
      </x:c>
      <x:c r="F38" s="13" t="str">
        <x:v>Washed PET flakes; recovered caps/closures and labels by polymer</x:v>
      </x:c>
      <x:c r="G38" s="13" t="str">
        <x:v>Fine particles, label residue</x:v>
      </x:c>
      <x:c r="H38" s="13" t="str">
        <x:v>Wash sludge / wastewater-treatment residues</x:v>
      </x:c>
      <x:c r="I38" s="13" t="str">
        <x:v>rPET granulator / polyester producer</x:v>
      </x:c>
      <x:c r="J38" s="13" t="str">
        <x:v>Washed PET flakes</x:v>
      </x:c>
      <x:c r="K38" s="13" t="str">
        <x:v>Hot vs cold wash should be a distinct grade attribute.</x:v>
      </x:c>
    </x:row>
    <x:row r="39">
      <x:c r="A39" s="13" t="str">
        <x:v>5. Plastics, Synthetic Fibre, Rubber &amp; Tyres</x:v>
      </x:c>
      <x:c r="B39" s="13" t="str">
        <x:v>rPET Granulation / Pelletising</x:v>
      </x:c>
      <x:c r="C39" s="13" t="str">
        <x:v>Recycler / Processor</x:v>
      </x:c>
      <x:c r="D39" s="13" t="str">
        <x:v>Clean PET flakes</x:v>
      </x:c>
      <x:c r="E39" s="13" t="str">
        <x:v>rPET granules / pellets</x:v>
      </x:c>
      <x:c r="F39" s="13" t="str">
        <x:v>Off-spec pellets suitable for controlled reprocessing</x:v>
      </x:c>
      <x:c r="G39" s="13" t="str">
        <x:v>Extrusion purge, filter residue</x:v>
      </x:c>
      <x:c r="H39" s="13" t="str">
        <x:v>Unrecoverable contamination</x:v>
      </x:c>
      <x:c r="I39" s="13" t="str">
        <x:v>Polyester / polymer processor</x:v>
      </x:c>
      <x:c r="J39" s="13" t="str">
        <x:v>rPET pellets</x:v>
      </x:c>
      <x:c r="K39" s="13" t="str">
        <x:v>Track IV/PIV, colour and application/food-contact status where applicable.</x:v>
      </x:c>
    </x:row>
    <x:row r="40">
      <x:c r="A40" s="13" t="str">
        <x:v>5. Plastics, Synthetic Fibre, Rubber &amp; Tyres</x:v>
      </x:c>
      <x:c r="B40" s="13" t="str">
        <x:v>Polyester / PSF / PFY Manufacturing</x:v>
      </x:c>
      <x:c r="C40" s="13" t="str">
        <x:v>Processor / Manufacturer</x:v>
      </x:c>
      <x:c r="D40" s="13" t="str">
        <x:v>Polyester feedstock, recycled/virgin polymer feedstocks, process additives</x:v>
      </x:c>
      <x:c r="E40" s="13" t="str">
        <x:v>PSF, PFY, polyester products</x:v>
      </x:c>
      <x:c r="F40" s="13" t="str">
        <x:v>Fibre waste, off-spec polymer, process scrap</x:v>
      </x:c>
      <x:c r="G40" s="13" t="str">
        <x:v>Start-up polymer/fibre waste</x:v>
      </x:c>
      <x:c r="H40" s="13" t="str">
        <x:v>Contaminated process waste</x:v>
      </x:c>
      <x:c r="I40" s="13" t="str">
        <x:v>Textile recycler / reprocessor</x:v>
      </x:c>
      <x:c r="J40" s="13" t="str">
        <x:v>PSF / PFY / polyester</x:v>
      </x:c>
      <x:c r="K40" s="13" t="str">
        <x:v>DMT/PTA/MEG are process feedstocks, not generic additives.</x:v>
      </x:c>
    </x:row>
    <x:row r="41">
      <x:c r="A41" s="13" t="str">
        <x:v>5. Plastics, Synthetic Fibre, Rubber &amp; Tyres</x:v>
      </x:c>
      <x:c r="B41" s="13" t="str">
        <x:v>Other Plastic Recycling (HDPE/PP/LDPE/PVC)</x:v>
      </x:c>
      <x:c r="C41" s="13" t="str">
        <x:v>Pre-processor / Recycler</x:v>
      </x:c>
      <x:c r="D41" s="13" t="str">
        <x:v>Post-consumer / post-industrial plastics</x:v>
      </x:c>
      <x:c r="E41" s="13" t="str">
        <x:v>Sorted flakes / regrind / granules / pellets</x:v>
      </x:c>
      <x:c r="F41" s="13" t="str">
        <x:v>Different polymer grades, caps, closures and clean offcuts</x:v>
      </x:c>
      <x:c r="G41" s="13" t="str">
        <x:v>Fines, labels, mixed polymers</x:v>
      </x:c>
      <x:c r="H41" s="13" t="str">
        <x:v>Wash sludge and rejects</x:v>
      </x:c>
      <x:c r="I41" s="13" t="str">
        <x:v>Compounder / moulding processor</x:v>
      </x:c>
      <x:c r="J41" s="13" t="str">
        <x:v>Plastic flakes / pellets</x:v>
      </x:c>
      <x:c r="K41" s="13" t="str">
        <x:v>Polymer code and contamination are core trade attributes.</x:v>
      </x:c>
    </x:row>
    <x:row r="42">
      <x:c r="A42" s="13" t="str">
        <x:v>5. Plastics, Synthetic Fibre, Rubber &amp; Tyres</x:v>
      </x:c>
      <x:c r="B42" s="13" t="str">
        <x:v>Plastic Compounding &amp; Masterbatch</x:v>
      </x:c>
      <x:c r="C42" s="13" t="str">
        <x:v>Processor / Compounder</x:v>
      </x:c>
      <x:c r="D42" s="13" t="str">
        <x:v>Polymer pellets/regrind, fillers, pigments, additives</x:v>
      </x:c>
      <x:c r="E42" s="13" t="str">
        <x:v>Compounded pellets / masterbatch</x:v>
      </x:c>
      <x:c r="F42" s="13" t="str">
        <x:v>Off-spec pellets suitable for rework</x:v>
      </x:c>
      <x:c r="G42" s="13" t="str">
        <x:v>Start-up purge, fines, packaging</x:v>
      </x:c>
      <x:c r="H42" s="13" t="str">
        <x:v>Contaminated compound waste</x:v>
      </x:c>
      <x:c r="I42" s="13" t="str">
        <x:v>Injection/film/extrusion manufacturers</x:v>
      </x:c>
      <x:c r="J42" s="13" t="str">
        <x:v>Compounded polymer pellets</x:v>
      </x:c>
      <x:c r="K42" s="13" t="str">
        <x:v>Record polymer family + filler + additive package.</x:v>
      </x:c>
    </x:row>
    <x:row r="43">
      <x:c r="A43" s="13" t="str">
        <x:v>5. Plastics, Synthetic Fibre, Rubber &amp; Tyres</x:v>
      </x:c>
      <x:c r="B43" s="13" t="str">
        <x:v>Plastic Injection / Blow Moulding</x:v>
      </x:c>
      <x:c r="C43" s="13" t="str">
        <x:v>Converter / Manufacturer</x:v>
      </x:c>
      <x:c r="D43" s="13" t="str">
        <x:v>Polymer granules / regrind</x:v>
      </x:c>
      <x:c r="E43" s="13" t="str">
        <x:v>Preforms, bottles, containers, moulded products</x:v>
      </x:c>
      <x:c r="F43" s="13" t="str">
        <x:v>Runners, sprues, start-up waste suitable for regrind</x:v>
      </x:c>
      <x:c r="G43" s="13" t="str">
        <x:v>Off-spec products, contaminated scrap</x:v>
      </x:c>
      <x:c r="H43" s="13" t="str">
        <x:v>Mixed/contaminated residual</x:v>
      </x:c>
      <x:c r="I43" s="13" t="str">
        <x:v>Plastic reprocessor</x:v>
      </x:c>
      <x:c r="J43" s="13" t="str">
        <x:v>Plastic production scrap</x:v>
      </x:c>
      <x:c r="K43" s="13" t="str">
        <x:v>Internal regrind should be distinguished from traded scrap.</x:v>
      </x:c>
    </x:row>
    <x:row r="44">
      <x:c r="A44" s="13" t="str">
        <x:v>5. Plastics, Synthetic Fibre, Rubber &amp; Tyres</x:v>
      </x:c>
      <x:c r="B44" s="13" t="str">
        <x:v>Foam / EPS / Thermocol</x:v>
      </x:c>
      <x:c r="C44" s="13" t="str">
        <x:v>Manufacturer / Processor</x:v>
      </x:c>
      <x:c r="D44" s="13" t="str">
        <x:v>Polymer beads/resin</x:v>
      </x:c>
      <x:c r="E44" s="13" t="str">
        <x:v>Foam/EPS products</x:v>
      </x:c>
      <x:c r="F44" s="13" t="str">
        <x:v>Clean EPS scrap / densified EPS</x:v>
      </x:c>
      <x:c r="G44" s="13" t="str">
        <x:v>Foam offcuts</x:v>
      </x:c>
      <x:c r="H44" s="13" t="str">
        <x:v>Contaminated EPS residue</x:v>
      </x:c>
      <x:c r="I44" s="13" t="str">
        <x:v>Plastic recycler</x:v>
      </x:c>
      <x:c r="J44" s="13" t="str">
        <x:v>EPS scrap / densified EPS</x:v>
      </x:c>
      <x:c r="K44" s="13" t="str">
        <x:v>Clean post-industrial scrap has better recoverability.</x:v>
      </x:c>
    </x:row>
    <x:row r="45">
      <x:c r="A45" s="13" t="str">
        <x:v>5. Plastics, Synthetic Fibre, Rubber &amp; Tyres</x:v>
      </x:c>
      <x:c r="B45" s="13" t="str">
        <x:v>Tyre Retreading</x:v>
      </x:c>
      <x:c r="C45" s="13" t="str">
        <x:v>Processor / Reuser</x:v>
      </x:c>
      <x:c r="D45" s="13" t="str">
        <x:v>Used tyre casings, tread rubber</x:v>
      </x:c>
      <x:c r="E45" s="13" t="str">
        <x:v>Retreaded tyres</x:v>
      </x:c>
      <x:c r="F45" s="13" t="str">
        <x:v>Retreadable casings, rubber buffings</x:v>
      </x:c>
      <x:c r="G45" s="13" t="str">
        <x:v>Buffing dust, rejected casings</x:v>
      </x:c>
      <x:c r="H45" s="13" t="str">
        <x:v>Contaminated/ragged residual</x:v>
      </x:c>
      <x:c r="I45" s="13" t="str">
        <x:v>Rubber recycler / tyre processor</x:v>
      </x:c>
      <x:c r="J45" s="13" t="str">
        <x:v>Retread casing / rubber scrap</x:v>
      </x:c>
      <x:c r="K45" s="13" t="str">
        <x:v>Reuse should be distinguished from recycling.</x:v>
      </x:c>
    </x:row>
    <x:row r="46">
      <x:c r="A46" s="13" t="str">
        <x:v>5. Plastics, Synthetic Fibre, Rubber &amp; Tyres</x:v>
      </x:c>
      <x:c r="B46" s="13" t="str">
        <x:v>Waste Tyre Shredding &amp; Granulation</x:v>
      </x:c>
      <x:c r="C46" s="13" t="str">
        <x:v>Pre-processor / Recycler</x:v>
      </x:c>
      <x:c r="D46" s="13" t="str">
        <x:v>End-of-life tyres</x:v>
      </x:c>
      <x:c r="E46" s="13" t="str">
        <x:v>Tyre chips / crumb rubber</x:v>
      </x:c>
      <x:c r="F46" s="13" t="str">
        <x:v>Recovered steel, rubber granules, fibre</x:v>
      </x:c>
      <x:c r="G46" s="13" t="str">
        <x:v>Textile fibre, fines</x:v>
      </x:c>
      <x:c r="H46" s="13" t="str">
        <x:v>Mixed residuals</x:v>
      </x:c>
      <x:c r="I46" s="13" t="str">
        <x:v>Rubber goods / steel recycler / authorised processor</x:v>
      </x:c>
      <x:c r="J46" s="13" t="str">
        <x:v>Tyre chips / crumb rubber / recovered steel</x:v>
      </x:c>
      <x:c r="K46" s="13" t="str">
        <x:v>Granulometry is a core trade attribute.</x:v>
      </x:c>
    </x:row>
    <x:row r="47">
      <x:c r="A47" s="13" t="str">
        <x:v>5. Plastics, Synthetic Fibre, Rubber &amp; Tyres</x:v>
      </x:c>
      <x:c r="B47" s="13" t="str">
        <x:v>Tyre Pyrolysis</x:v>
      </x:c>
      <x:c r="C47" s="13" t="str">
        <x:v>Recovery Processor</x:v>
      </x:c>
      <x:c r="D47" s="13" t="str">
        <x:v>Waste tyres</x:v>
      </x:c>
      <x:c r="E47" s="13" t="str">
        <x:v>Pyrolysis oil, carbonaceous solid, recovered steel, process gas</x:v>
      </x:c>
      <x:c r="F47" s="13" t="str">
        <x:v>Recovered steel, process gas, recovered carbonaceous material subject to specification</x:v>
      </x:c>
      <x:c r="G47" s="13" t="str">
        <x:v>Pyrolysis oil product</x:v>
      </x:c>
      <x:c r="H47" s="13" t="str">
        <x:v>Ash / contaminated residue</x:v>
      </x:c>
      <x:c r="I47" s="13" t="str">
        <x:v>Fuel processor / carbon processor / metal recycler</x:v>
      </x:c>
      <x:c r="J47" s="13" t="str">
        <x:v>Pyrolysis oil / recovered carbon / steel</x:v>
      </x:c>
      <x:c r="K47" s="13" t="str">
        <x:v>Track product specifications and regulatory status.</x:v>
      </x:c>
    </x:row>
    <x:row r="48">
      <x:c r="A48" s="13" t="str">
        <x:v>6. Food, Agro-Processing, Dairy, Beverage &amp; Animal Products</x:v>
      </x:c>
      <x:c r="B48" s="13" t="str">
        <x:v>Rice &amp; Grain Milling</x:v>
      </x:c>
      <x:c r="C48" s="13" t="str">
        <x:v>Processor</x:v>
      </x:c>
      <x:c r="D48" s="13" t="str">
        <x:v>Paddy, grains, pulses</x:v>
      </x:c>
      <x:c r="E48" s="13" t="str">
        <x:v>Milled rice, flour, pulses</x:v>
      </x:c>
      <x:c r="F48" s="13" t="str">
        <x:v>Rice bran, broken rice, husk</x:v>
      </x:c>
      <x:c r="G48" s="13" t="str">
        <x:v>Dust, rejected grain</x:v>
      </x:c>
      <x:c r="H48" s="13" t="str">
        <x:v>Contaminated sweepings / wet residue</x:v>
      </x:c>
      <x:c r="I48" s="13" t="str">
        <x:v>Feed manufacturer / biomass processor</x:v>
      </x:c>
      <x:c r="J48" s="13" t="str">
        <x:v>Rice bran / husk / broken grain</x:v>
      </x:c>
      <x:c r="K48" s="13" t="str">
        <x:v>By-products can have strong downstream markets.</x:v>
      </x:c>
    </x:row>
    <x:row r="49">
      <x:c r="A49" s="13" t="str">
        <x:v>6. Food, Agro-Processing, Dairy, Beverage &amp; Animal Products</x:v>
      </x:c>
      <x:c r="B49" s="13" t="str">
        <x:v>Sugar Mills</x:v>
      </x:c>
      <x:c r="C49" s="13" t="str">
        <x:v>Processor / Manufacturer</x:v>
      </x:c>
      <x:c r="D49" s="13" t="str">
        <x:v>Sugarcane</x:v>
      </x:c>
      <x:c r="E49" s="13" t="str">
        <x:v>Sugar</x:v>
      </x:c>
      <x:c r="F49" s="13" t="str">
        <x:v>Bagasse, molasses, press mud</x:v>
      </x:c>
      <x:c r="G49" s="13" t="str">
        <x:v>Boiler ash, filter residues</x:v>
      </x:c>
      <x:c r="H49" s="13" t="str">
        <x:v>Mixed wastewater sludge/residue</x:v>
      </x:c>
      <x:c r="I49" s="13" t="str">
        <x:v>Paper/board, distillery, compost/bio-input, biomass energy</x:v>
      </x:c>
      <x:c r="J49" s="13" t="str">
        <x:v>Bagasse / molasses / press mud</x:v>
      </x:c>
      <x:c r="K49" s="13" t="str">
        <x:v>Each stream should have a separate material record.</x:v>
      </x:c>
    </x:row>
    <x:row r="50">
      <x:c r="A50" s="13" t="str">
        <x:v>6. Food, Agro-Processing, Dairy, Beverage &amp; Animal Products</x:v>
      </x:c>
      <x:c r="B50" s="13" t="str">
        <x:v>Distilleries / Ethanol</x:v>
      </x:c>
      <x:c r="C50" s="13" t="str">
        <x:v>Processor / Manufacturer</x:v>
      </x:c>
      <x:c r="D50" s="13" t="str">
        <x:v>Molasses / grain / fermentable feedstock</x:v>
      </x:c>
      <x:c r="E50" s="13" t="str">
        <x:v>Ethanol / alcohol</x:v>
      </x:c>
      <x:c r="F50" s="13" t="str">
        <x:v>DDGS where applicable, recovered CO2, fusel oil</x:v>
      </x:c>
      <x:c r="G50" s="13" t="str">
        <x:v>Spent wash / spent lees</x:v>
      </x:c>
      <x:c r="H50" s="13" t="str">
        <x:v>Treatment residues</x:v>
      </x:c>
      <x:c r="I50" s="13" t="str">
        <x:v>CBG/biogas, feed, authorised processor</x:v>
      </x:c>
      <x:c r="J50" s="13" t="str">
        <x:v>DDGS / CO2 / fusel oil / spent wash</x:v>
      </x:c>
      <x:c r="K50" s="13" t="str">
        <x:v>Distinguish co-products from residuals.</x:v>
      </x:c>
    </x:row>
    <x:row r="51">
      <x:c r="A51" s="13" t="str">
        <x:v>6. Food, Agro-Processing, Dairy, Beverage &amp; Animal Products</x:v>
      </x:c>
      <x:c r="B51" s="13" t="str">
        <x:v>CBG / Biogas from Organic Feedstocks</x:v>
      </x:c>
      <x:c r="C51" s="13" t="str">
        <x:v>Waste Processor / Bioenergy</x:v>
      </x:c>
      <x:c r="D51" s="13" t="str">
        <x:v>Organic waste, crop residues, manure, process waste</x:v>
      </x:c>
      <x:c r="E51" s="13" t="str">
        <x:v>CBG / biogas</x:v>
      </x:c>
      <x:c r="F51" s="13" t="str">
        <x:v>FOM/LFOM, digestate, biogas</x:v>
      </x:c>
      <x:c r="G51" s="13" t="str">
        <x:v>Inert rejects, separated plastics</x:v>
      </x:c>
      <x:c r="H51" s="13" t="str">
        <x:v>Treatment residue / non-digestible reject</x:v>
      </x:c>
      <x:c r="I51" s="13" t="str">
        <x:v>Agriculture, fuel users, authorised waste route</x:v>
      </x:c>
      <x:c r="J51" s="13" t="str">
        <x:v>CBG / digestate / soil amendment</x:v>
      </x:c>
      <x:c r="K51" s="13" t="str">
        <x:v>Feedstock traceability is a key data attribute.</x:v>
      </x:c>
    </x:row>
    <x:row r="52">
      <x:c r="A52" s="13" t="str">
        <x:v>6. Food, Agro-Processing, Dairy, Beverage &amp; Animal Products</x:v>
      </x:c>
      <x:c r="B52" s="13" t="str">
        <x:v>Food Processing</x:v>
      </x:c>
      <x:c r="C52" s="13" t="str">
        <x:v>Processor / Manufacturer</x:v>
      </x:c>
      <x:c r="D52" s="13" t="str">
        <x:v>Fruits, vegetables, grains, milk, other food inputs</x:v>
      </x:c>
      <x:c r="E52" s="13" t="str">
        <x:v>Processed food</x:v>
      </x:c>
      <x:c r="F52" s="13" t="str">
        <x:v>Peels, seeds, pulp, reusable by-products where suitable</x:v>
      </x:c>
      <x:c r="G52" s="13" t="str">
        <x:v>Organic rejects, packaging scrap</x:v>
      </x:c>
      <x:c r="H52" s="13" t="str">
        <x:v>Mixed contaminated organic residues</x:v>
      </x:c>
      <x:c r="I52" s="13" t="str">
        <x:v>Feed / compost / anaerobic digestion</x:v>
      </x:c>
      <x:c r="J52" s="13" t="str">
        <x:v>Food organic by-product</x:v>
      </x:c>
      <x:c r="K52" s="13" t="str">
        <x:v>Keep clean by-products separate from mixed waste.</x:v>
      </x:c>
    </x:row>
    <x:row r="53">
      <x:c r="A53" s="13" t="str">
        <x:v>6. Food, Agro-Processing, Dairy, Beverage &amp; Animal Products</x:v>
      </x:c>
      <x:c r="B53" s="13" t="str">
        <x:v>Tea Processing</x:v>
      </x:c>
      <x:c r="C53" s="13" t="str">
        <x:v>Processor</x:v>
      </x:c>
      <x:c r="D53" s="13" t="str">
        <x:v>Green tea leaves</x:v>
      </x:c>
      <x:c r="E53" s="13" t="str">
        <x:v>Processed tea</x:v>
      </x:c>
      <x:c r="F53" s="13" t="str">
        <x:v>Tea dust/stems where sold or recovered</x:v>
      </x:c>
      <x:c r="G53" s="13" t="str">
        <x:v>Rejected leaves, packaging scrap</x:v>
      </x:c>
      <x:c r="H53" s="13" t="str">
        <x:v>Contaminated sweepings</x:v>
      </x:c>
      <x:c r="I53" s="13" t="str">
        <x:v>Feed/compost/biomass processor</x:v>
      </x:c>
      <x:c r="J53" s="13" t="str">
        <x:v>Tea by-product</x:v>
      </x:c>
      <x:c r="K53" s="13" t="str">
        <x:v>Value depends on grade and contamination.</x:v>
      </x:c>
    </x:row>
    <x:row r="54">
      <x:c r="A54" s="13" t="str">
        <x:v>6. Food, Agro-Processing, Dairy, Beverage &amp; Animal Products</x:v>
      </x:c>
      <x:c r="B54" s="13" t="str">
        <x:v>Coffee Processing</x:v>
      </x:c>
      <x:c r="C54" s="13" t="str">
        <x:v>Processor</x:v>
      </x:c>
      <x:c r="D54" s="13" t="str">
        <x:v>Coffee cherries / beans</x:v>
      </x:c>
      <x:c r="E54" s="13" t="str">
        <x:v>Processed coffee beans</x:v>
      </x:c>
      <x:c r="F54" s="13" t="str">
        <x:v>Coffee husk, pulp, mucilage</x:v>
      </x:c>
      <x:c r="G54" s="13" t="str">
        <x:v>Rejected beans, organic waste</x:v>
      </x:c>
      <x:c r="H54" s="13" t="str">
        <x:v>Contaminated residue</x:v>
      </x:c>
      <x:c r="I54" s="13" t="str">
        <x:v>Compost/feed/biomass processor</x:v>
      </x:c>
      <x:c r="J54" s="13" t="str">
        <x:v>Coffee by-product</x:v>
      </x:c>
      <x:c r="K54" s="13" t="str">
        <x:v>Dry/wet processing changes the by-product profile.</x:v>
      </x:c>
    </x:row>
    <x:row r="55">
      <x:c r="A55" s="13" t="str">
        <x:v>6. Food, Agro-Processing, Dairy, Beverage &amp; Animal Products</x:v>
      </x:c>
      <x:c r="B55" s="13" t="str">
        <x:v>Cashew Processing</x:v>
      </x:c>
      <x:c r="C55" s="13" t="str">
        <x:v>Processor</x:v>
      </x:c>
      <x:c r="D55" s="13" t="str">
        <x:v>Raw cashew nuts</x:v>
      </x:c>
      <x:c r="E55" s="13" t="str">
        <x:v>Cashew kernels</x:v>
      </x:c>
      <x:c r="F55" s="13" t="str">
        <x:v>Cashew shells, testa, broken kernels</x:v>
      </x:c>
      <x:c r="G55" s="13" t="str">
        <x:v>Dust, rejected kernels</x:v>
      </x:c>
      <x:c r="H55" s="13" t="str">
        <x:v>Contaminated mixed residues</x:v>
      </x:c>
      <x:c r="I55" s="13" t="str">
        <x:v>CNSL extraction / biomass / food ingredient processors</x:v>
      </x:c>
      <x:c r="J55" s="13" t="str">
        <x:v>Cashew shell / CNSL feedstock / broken kernel</x:v>
      </x:c>
      <x:c r="K55" s="13" t="str">
        <x:v>Shell and CNSL-related streams can support chemical value chains.</x:v>
      </x:c>
    </x:row>
    <x:row r="56">
      <x:c r="A56" s="13" t="str">
        <x:v>6. Food, Agro-Processing, Dairy, Beverage &amp; Animal Products</x:v>
      </x:c>
      <x:c r="B56" s="13" t="str">
        <x:v>Dairy Processing</x:v>
      </x:c>
      <x:c r="C56" s="13" t="str">
        <x:v>Processor / Manufacturer</x:v>
      </x:c>
      <x:c r="D56" s="13" t="str">
        <x:v>Raw milk</x:v>
      </x:c>
      <x:c r="E56" s="13" t="str">
        <x:v>Milk, curd, butter, cheese, other dairy products</x:v>
      </x:c>
      <x:c r="F56" s="13" t="str">
        <x:v>Whey, cream by-products where applicable</x:v>
      </x:c>
      <x:c r="G56" s="13" t="str">
        <x:v>Rejected dairy products, packaging</x:v>
      </x:c>
      <x:c r="H56" s="13" t="str">
        <x:v>Organic sludge / contaminated residue</x:v>
      </x:c>
      <x:c r="I56" s="13" t="str">
        <x:v>Feed / ingredient / anaerobic digestion / waste handler</x:v>
      </x:c>
      <x:c r="J56" s="13" t="str">
        <x:v>Whey / dairy by-product</x:v>
      </x:c>
      <x:c r="K56" s="13" t="str">
        <x:v>Separate food-grade co-products from waste.</x:v>
      </x:c>
    </x:row>
    <x:row r="57">
      <x:c r="A57" s="13" t="str">
        <x:v>6. Food, Agro-Processing, Dairy, Beverage &amp; Animal Products</x:v>
      </x:c>
      <x:c r="B57" s="13" t="str">
        <x:v>Fish Processing &amp; Feed</x:v>
      </x:c>
      <x:c r="C57" s="13" t="str">
        <x:v>Processor / Manufacturer</x:v>
      </x:c>
      <x:c r="D57" s="13" t="str">
        <x:v>Fish and aquatic raw material</x:v>
      </x:c>
      <x:c r="E57" s="13" t="str">
        <x:v>Processed fish, fish meal/feed products</x:v>
      </x:c>
      <x:c r="F57" s="13" t="str">
        <x:v>Fish offal, bones, scales where recoverable</x:v>
      </x:c>
      <x:c r="G57" s="13" t="str">
        <x:v>Rejected material, feed dust</x:v>
      </x:c>
      <x:c r="H57" s="13" t="str">
        <x:v>Organic residues</x:v>
      </x:c>
      <x:c r="I57" s="13" t="str">
        <x:v>Fishmeal/feed / rendering / organic processor</x:v>
      </x:c>
      <x:c r="J57" s="13" t="str">
        <x:v>Fish by-product</x:v>
      </x:c>
      <x:c r="K57" s="13" t="str">
        <x:v>Cold-chain and quality metadata may matter.</x:v>
      </x:c>
    </x:row>
    <x:row r="58">
      <x:c r="A58" s="13" t="str">
        <x:v>6. Food, Agro-Processing, Dairy, Beverage &amp; Animal Products</x:v>
      </x:c>
      <x:c r="B58" s="13" t="str">
        <x:v>Slaughterhouse / Animal By-products</x:v>
      </x:c>
      <x:c r="C58" s="13" t="str">
        <x:v>Processor / Recovery</x:v>
      </x:c>
      <x:c r="D58" s="13" t="str">
        <x:v>Livestock, animal by-products</x:v>
      </x:c>
      <x:c r="E58" s="13" t="str">
        <x:v>Meat and recovered animal products</x:v>
      </x:c>
      <x:c r="F58" s="13" t="str">
        <x:v>Hides, fats, bones, horns, hooves, rendered products</x:v>
      </x:c>
      <x:c r="G58" s="13" t="str">
        <x:v>Blood, offal, organic process residues</x:v>
      </x:c>
      <x:c r="H58" s="13" t="str">
        <x:v>Treatment/rendering residues</x:v>
      </x:c>
      <x:c r="I58" s="13" t="str">
        <x:v>Rendering / leather / bone processor / authorised route</x:v>
      </x:c>
      <x:c r="J58" s="13" t="str">
        <x:v>Animal by-product</x:v>
      </x:c>
      <x:c r="K58" s="13" t="str">
        <x:v>Controlled handling and end-user eligibility matter.</x:v>
      </x:c>
    </x:row>
    <x:row r="59">
      <x:c r="A59" s="13" t="str">
        <x:v>7. Edible Oil, Vegetable Oil &amp; Used Oil Industries</x:v>
      </x:c>
      <x:c r="B59" s="13" t="str">
        <x:v>Oilseed Processing / Crushing</x:v>
      </x:c>
      <x:c r="C59" s="13" t="str">
        <x:v>Processor</x:v>
      </x:c>
      <x:c r="D59" s="13" t="str">
        <x:v>Oilseeds</x:v>
      </x:c>
      <x:c r="E59" s="13" t="str">
        <x:v>Edible oil and oil cake</x:v>
      </x:c>
      <x:c r="F59" s="13" t="str">
        <x:v>Oil cake, husk, seed residues</x:v>
      </x:c>
      <x:c r="G59" s="13" t="str">
        <x:v>Filter residues</x:v>
      </x:c>
      <x:c r="H59" s="13" t="str">
        <x:v>Contaminated sweepings</x:v>
      </x:c>
      <x:c r="I59" s="13" t="str">
        <x:v>Feed / biomass processor</x:v>
      </x:c>
      <x:c r="J59" s="13" t="str">
        <x:v>Oil cake / husk / seed residue</x:v>
      </x:c>
      <x:c r="K59" s="13" t="str">
        <x:v>Feed and fuel markets can be separate.</x:v>
      </x:c>
    </x:row>
    <x:row r="60">
      <x:c r="A60" s="13" t="str">
        <x:v>7. Edible Oil, Vegetable Oil &amp; Used Oil Industries</x:v>
      </x:c>
      <x:c r="B60" s="13" t="str">
        <x:v>Vegetable Oil Refining</x:v>
      </x:c>
      <x:c r="C60" s="13" t="str">
        <x:v>Processor / Refiner</x:v>
      </x:c>
      <x:c r="D60" s="13" t="str">
        <x:v>Crude vegetable oil, chemicals, filter aids</x:v>
      </x:c>
      <x:c r="E60" s="13" t="str">
        <x:v>Refined oils / fats</x:v>
      </x:c>
      <x:c r="F60" s="13" t="str">
        <x:v>Soapstock, gums, recovered oil fractions</x:v>
      </x:c>
      <x:c r="G60" s="13" t="str">
        <x:v>Spent bleaching earth, filter residues</x:v>
      </x:c>
      <x:c r="H60" s="13" t="str">
        <x:v>Contaminated treatment residue</x:v>
      </x:c>
      <x:c r="I60" s="13" t="str">
        <x:v>Oil recovery / industrial ingredient / authorised handler</x:v>
      </x:c>
      <x:c r="J60" s="13" t="str">
        <x:v>Soapstock / spent bleaching earth / gums</x:v>
      </x:c>
      <x:c r="K60" s="13" t="str">
        <x:v>Quality and composition must be tracked.</x:v>
      </x:c>
    </x:row>
    <x:row r="61">
      <x:c r="A61" s="13" t="str">
        <x:v>7. Edible Oil, Vegetable Oil &amp; Used Oil Industries</x:v>
      </x:c>
      <x:c r="B61" s="13" t="str">
        <x:v>Used Cooking Oil Collection</x:v>
      </x:c>
      <x:c r="C61" s="13" t="str">
        <x:v>Collector / Aggregator</x:v>
      </x:c>
      <x:c r="D61" s="13" t="str">
        <x:v>Used cooking oil</x:v>
      </x:c>
      <x:c r="E61" s="13" t="str">
        <x:v>Segregated UCO</x:v>
      </x:c>
      <x:c r="F61" s="13" t="str">
        <x:v>Used cooking oil suitable for authorised recovery/conversion</x:v>
      </x:c>
      <x:c r="G61" s="13" t="str">
        <x:v>Food solids, moisture contamination</x:v>
      </x:c>
      <x:c r="H61" s="13" t="str">
        <x:v>Non-recoverable mixed residue</x:v>
      </x:c>
      <x:c r="I61" s="13" t="str">
        <x:v>Biofuel / oleochemical processor</x:v>
      </x:c>
      <x:c r="J61" s="13" t="str">
        <x:v>Used cooking oil</x:v>
      </x:c>
      <x:c r="K61" s="13" t="str">
        <x:v>Source and contamination are important.</x:v>
      </x:c>
    </x:row>
    <x:row r="62">
      <x:c r="A62" s="13" t="str">
        <x:v>7. Edible Oil, Vegetable Oil &amp; Used Oil Industries</x:v>
      </x:c>
      <x:c r="B62" s="13" t="str">
        <x:v>Used Lubricating Oil Recovery</x:v>
      </x:c>
      <x:c r="C62" s="13" t="str">
        <x:v>Recovery Processor</x:v>
      </x:c>
      <x:c r="D62" s="13" t="str">
        <x:v>Used/waste lubricating oil</x:v>
      </x:c>
      <x:c r="E62" s="13" t="str">
        <x:v>Recovered base-oil fractions</x:v>
      </x:c>
      <x:c r="F62" s="13" t="str">
        <x:v>Recovered oil fractions</x:v>
      </x:c>
      <x:c r="G62" s="13" t="str">
        <x:v>Sludge, filter residues, water</x:v>
      </x:c>
      <x:c r="H62" s="13" t="str">
        <x:v>Spent clay / contaminated residuals</x:v>
      </x:c>
      <x:c r="I62" s="13" t="str">
        <x:v>Base-oil / used-oil processor / authorised handler</x:v>
      </x:c>
      <x:c r="J62" s="13" t="str">
        <x:v>Recovered base oil / used-oil fraction</x:v>
      </x:c>
      <x:c r="K62" s="13" t="str">
        <x:v>Track viscosity/specification and source.</x:v>
      </x:c>
    </x:row>
    <x:row r="63">
      <x:c r="A63" s="13" t="str">
        <x:v>8. Pulp, Paper, Printing &amp; Paper-Converting Industries</x:v>
      </x:c>
      <x:c r="B63" s="13" t="str">
        <x:v>Waste-Paper Collection &amp; Baling</x:v>
      </x:c>
      <x:c r="C63" s="13" t="str">
        <x:v>Collector / Yard / Aggregator</x:v>
      </x:c>
      <x:c r="D63" s="13" t="str">
        <x:v>Newspaper, OCC, mixed paper</x:v>
      </x:c>
      <x:c r="E63" s="13" t="str">
        <x:v>Grade-separated paper bales</x:v>
      </x:c>
      <x:c r="F63" s="13" t="str">
        <x:v>OCC, newspaper, mixed-paper bales</x:v>
      </x:c>
      <x:c r="G63" s="13" t="str">
        <x:v>Wet paper, plastic contamination, staples</x:v>
      </x:c>
      <x:c r="H63" s="13" t="str">
        <x:v>Non-recyclable contamination</x:v>
      </x:c>
      <x:c r="I63" s="13" t="str">
        <x:v>Paper mill / recycled-pulp unit</x:v>
      </x:c>
      <x:c r="J63" s="13" t="str">
        <x:v>Paper bale</x:v>
      </x:c>
      <x:c r="K63" s="13" t="str">
        <x:v>Grade, moisture and contamination determine price.</x:v>
      </x:c>
    </x:row>
    <x:row r="64">
      <x:c r="A64" s="13" t="str">
        <x:v>8. Pulp, Paper, Printing &amp; Paper-Converting Industries</x:v>
      </x:c>
      <x:c r="B64" s="13" t="str">
        <x:v>Recycled Pulp Manufacturing</x:v>
      </x:c>
      <x:c r="C64" s="13" t="str">
        <x:v>Pre-processor / Recycler</x:v>
      </x:c>
      <x:c r="D64" s="13" t="str">
        <x:v>Recovered paper bales</x:v>
      </x:c>
      <x:c r="E64" s="13" t="str">
        <x:v>Recovered pulp / fibre</x:v>
      </x:c>
      <x:c r="F64" s="13" t="str">
        <x:v>Recovered fibre fractions</x:v>
      </x:c>
      <x:c r="G64" s="13" t="str">
        <x:v>Plastic rejects, deinking residues</x:v>
      </x:c>
      <x:c r="H64" s="13" t="str">
        <x:v>Pulp sludge, sand/contaminants</x:v>
      </x:c>
      <x:c r="I64" s="13" t="str">
        <x:v>Paper/board mill / approved reuse route</x:v>
      </x:c>
      <x:c r="J64" s="13" t="str">
        <x:v>Recovered pulp</x:v>
      </x:c>
      <x:c r="K64" s="13" t="str">
        <x:v>Screen reject and sludge should be separate streams.</x:v>
      </x:c>
    </x:row>
    <x:row r="65">
      <x:c r="A65" s="13" t="str">
        <x:v>8. Pulp, Paper, Printing &amp; Paper-Converting Industries</x:v>
      </x:c>
      <x:c r="B65" s="13" t="str">
        <x:v>Paper &amp; Paperboard Manufacturing</x:v>
      </x:c>
      <x:c r="C65" s="13" t="str">
        <x:v>Manufacturer</x:v>
      </x:c>
      <x:c r="D65" s="13" t="str">
        <x:v>Pulp / recycled fibre / additives</x:v>
      </x:c>
      <x:c r="E65" s="13" t="str">
        <x:v>Paper, board and packaging grades</x:v>
      </x:c>
      <x:c r="F65" s="13" t="str">
        <x:v>Paper trim, broke, recovered fibre where reusable</x:v>
      </x:c>
      <x:c r="G65" s="13" t="str">
        <x:v>Screen reject, sludge</x:v>
      </x:c>
      <x:c r="H65" s="13" t="str">
        <x:v>Treatment sludge / contaminated residue</x:v>
      </x:c>
      <x:c r="I65" s="13" t="str">
        <x:v>Paper recycler / authorised processor</x:v>
      </x:c>
      <x:c r="J65" s="13" t="str">
        <x:v>Paper production scrap</x:v>
      </x:c>
      <x:c r="K65" s="13" t="str">
        <x:v>Broke can be internal or traded material.</x:v>
      </x:c>
    </x:row>
    <x:row r="66">
      <x:c r="A66" s="13" t="str">
        <x:v>8. Pulp, Paper, Printing &amp; Paper-Converting Industries</x:v>
      </x:c>
      <x:c r="B66" s="13" t="str">
        <x:v>Corrugated &amp; Packaging Converters</x:v>
      </x:c>
      <x:c r="C66" s="13" t="str">
        <x:v>Converter / Manufacturer</x:v>
      </x:c>
      <x:c r="D66" s="13" t="str">
        <x:v>Paperboard / kraftliner</x:v>
      </x:c>
      <x:c r="E66" s="13" t="str">
        <x:v>Boxes, cartons, packaging products</x:v>
      </x:c>
      <x:c r="F66" s="13" t="str">
        <x:v>Paper trim, clean offcuts</x:v>
      </x:c>
      <x:c r="G66" s="13" t="str">
        <x:v>Rejected cartons, adhesive-contaminated scrap</x:v>
      </x:c>
      <x:c r="H66" s="13" t="str">
        <x:v>Mixed contaminated packaging residue</x:v>
      </x:c>
      <x:c r="I66" s="13" t="str">
        <x:v>Paper recycler</x:v>
      </x:c>
      <x:c r="J66" s="13" t="str">
        <x:v>Clean paperboard scrap</x:v>
      </x:c>
      <x:c r="K66" s="13" t="str">
        <x:v>Clean trim can be closed-loop material.</x:v>
      </x:c>
    </x:row>
    <x:row r="67">
      <x:c r="A67" s="13" t="str">
        <x:v>8. Pulp, Paper, Printing &amp; Paper-Converting Industries</x:v>
      </x:c>
      <x:c r="B67" s="13" t="str">
        <x:v>Printing &amp; Ink</x:v>
      </x:c>
      <x:c r="C67" s="13" t="str">
        <x:v>Printer / Chemical Manufacturer</x:v>
      </x:c>
      <x:c r="D67" s="13" t="str">
        <x:v>Paper, inks, coatings, solvents</x:v>
      </x:c>
      <x:c r="E67" s="13" t="str">
        <x:v>Printed products / inks</x:v>
      </x:c>
      <x:c r="F67" s="13" t="str">
        <x:v>Clean paper trim, selected off-spec ink for controlled recovery</x:v>
      </x:c>
      <x:c r="G67" s="13" t="str">
        <x:v>Ink sludge, solvent containers, plates/films</x:v>
      </x:c>
      <x:c r="H67" s="13" t="str">
        <x:v>Contaminated waste</x:v>
      </x:c>
      <x:c r="I67" s="13" t="str">
        <x:v>Paper / chemical recovery</x:v>
      </x:c>
      <x:c r="J67" s="13" t="str">
        <x:v>Printed paper scrap / ink residue</x:v>
      </x:c>
      <x:c r="K67" s="13" t="str">
        <x:v>Separate recyclable substrate from hazardous residue.</x:v>
      </x:c>
    </x:row>
    <x:row r="68">
      <x:c r="A68" s="13" t="str">
        <x:v>9. Textile, Garment, Jute, Coir &amp; Leather Industries</x:v>
      </x:c>
      <x:c r="B68" s="13" t="str">
        <x:v>Textile Spinning &amp; Weaving</x:v>
      </x:c>
      <x:c r="C68" s="13" t="str">
        <x:v>Processor / Manufacturer</x:v>
      </x:c>
      <x:c r="D68" s="13" t="str">
        <x:v>Fibres, yarn, dyes/size as applicable</x:v>
      </x:c>
      <x:c r="E68" s="13" t="str">
        <x:v>Yarn, grey fabric</x:v>
      </x:c>
      <x:c r="F68" s="13" t="str">
        <x:v>Yarn waste, fabric selvedge, fibre waste</x:v>
      </x:c>
      <x:c r="G68" s="13" t="str">
        <x:v>Fly, thread waste, packaging</x:v>
      </x:c>
      <x:c r="H68" s="13" t="str">
        <x:v>Contaminated sweepings</x:v>
      </x:c>
      <x:c r="I68" s="13" t="str">
        <x:v>Textile recycler / fibre reprocessor</x:v>
      </x:c>
      <x:c r="J68" s="13" t="str">
        <x:v>Textile fibre / yarn scrap</x:v>
      </x:c>
      <x:c r="K68" s="13" t="str">
        <x:v>Fibre composition is a key trade attribute.</x:v>
      </x:c>
    </x:row>
    <x:row r="69">
      <x:c r="A69" s="13" t="str">
        <x:v>9. Textile, Garment, Jute, Coir &amp; Leather Industries</x:v>
      </x:c>
      <x:c r="B69" s="13" t="str">
        <x:v>Textile Wet Processing</x:v>
      </x:c>
      <x:c r="C69" s="13" t="str">
        <x:v>Processor / Finisher</x:v>
      </x:c>
      <x:c r="D69" s="13" t="str">
        <x:v>Grey fabric/yarn, dyes, chemicals, water</x:v>
      </x:c>
      <x:c r="E69" s="13" t="str">
        <x:v>Bleached/dyed/printed/finished textiles</x:v>
      </x:c>
      <x:c r="F69" s="13" t="str">
        <x:v>Clean textile offcuts, recoverable process chemicals where feasible</x:v>
      </x:c>
      <x:c r="G69" s="13" t="str">
        <x:v>Textile sludge, dye liquor residues</x:v>
      </x:c>
      <x:c r="H69" s="13" t="str">
        <x:v>ETP sludge / contaminated residues</x:v>
      </x:c>
      <x:c r="I69" s="13" t="str">
        <x:v>Textile recycler / authorised waste handler</x:v>
      </x:c>
      <x:c r="J69" s="13" t="str">
        <x:v>Textile scrap / regulated sludge</x:v>
      </x:c>
      <x:c r="K69" s="13" t="str">
        <x:v>Wet-process residues need separate compliance treatment.</x:v>
      </x:c>
    </x:row>
    <x:row r="70">
      <x:c r="A70" s="13" t="str">
        <x:v>9. Textile, Garment, Jute, Coir &amp; Leather Industries</x:v>
      </x:c>
      <x:c r="B70" s="13" t="str">
        <x:v>Garment &amp; Apparel Manufacturing</x:v>
      </x:c>
      <x:c r="C70" s="13" t="str">
        <x:v>Converter / Manufacturer</x:v>
      </x:c>
      <x:c r="D70" s="13" t="str">
        <x:v>Fabric, thread, trims</x:v>
      </x:c>
      <x:c r="E70" s="13" t="str">
        <x:v>Garments / apparel</x:v>
      </x:c>
      <x:c r="F70" s="13" t="str">
        <x:v>Cutting waste, clean fabric scrap, rejected garments</x:v>
      </x:c>
      <x:c r="G70" s="13" t="str">
        <x:v>Thread waste, packaging scrap</x:v>
      </x:c>
      <x:c r="H70" s="13" t="str">
        <x:v>Mixed contaminated textile waste</x:v>
      </x:c>
      <x:c r="I70" s="13" t="str">
        <x:v>Textile recycler / resale / reuse channel</x:v>
      </x:c>
      <x:c r="J70" s="13" t="str">
        <x:v>Clean textile scrap</x:v>
      </x:c>
      <x:c r="K70" s="13" t="str">
        <x:v>Post-industrial textile scrap can support fibre-to-fibre routes.</x:v>
      </x:c>
    </x:row>
    <x:row r="71">
      <x:c r="A71" s="13" t="str">
        <x:v>9. Textile, Garment, Jute, Coir &amp; Leather Industries</x:v>
      </x:c>
      <x:c r="B71" s="13" t="str">
        <x:v>Textile Waste Reprocessing</x:v>
      </x:c>
      <x:c r="C71" s="13" t="str">
        <x:v>Pre-processor / Recycler</x:v>
      </x:c>
      <x:c r="D71" s="13" t="str">
        <x:v>Textile waste / garments</x:v>
      </x:c>
      <x:c r="E71" s="13" t="str">
        <x:v>Recovered fibre / recycled yarn feedstock</x:v>
      </x:c>
      <x:c r="F71" s="13" t="str">
        <x:v>Colour/fibre-separated fractions</x:v>
      </x:c>
      <x:c r="G71" s="13" t="str">
        <x:v>Short fibre, dust, blended reject</x:v>
      </x:c>
      <x:c r="H71" s="13" t="str">
        <x:v>Wet-process sludge where applicable</x:v>
      </x:c>
      <x:c r="I71" s="13" t="str">
        <x:v>Recycled yarn / nonwoven processor</x:v>
      </x:c>
      <x:c r="J71" s="13" t="str">
        <x:v>Recovered textile fibre</x:v>
      </x:c>
      <x:c r="K71" s="13" t="str">
        <x:v>Fibre composition and blend ratio are critical.</x:v>
      </x:c>
    </x:row>
    <x:row r="72">
      <x:c r="A72" s="13" t="str">
        <x:v>9. Textile, Garment, Jute, Coir &amp; Leather Industries</x:v>
      </x:c>
      <x:c r="B72" s="13" t="str">
        <x:v>Jute Processing</x:v>
      </x:c>
      <x:c r="C72" s="13" t="str">
        <x:v>Processor</x:v>
      </x:c>
      <x:c r="D72" s="13" t="str">
        <x:v>Raw jute</x:v>
      </x:c>
      <x:c r="E72" s="13" t="str">
        <x:v>Jute fibre / jute products</x:v>
      </x:c>
      <x:c r="F72" s="13" t="str">
        <x:v>Jute pith, jute dust, fibre waste</x:v>
      </x:c>
      <x:c r="G72" s="13" t="str">
        <x:v>Dust/fines</x:v>
      </x:c>
      <x:c r="H72" s="13" t="str">
        <x:v>Contaminated residue</x:v>
      </x:c>
      <x:c r="I72" s="13" t="str">
        <x:v>Biomass / board / horticulture processor</x:v>
      </x:c>
      <x:c r="J72" s="13" t="str">
        <x:v>Jute pith / fibre scrap</x:v>
      </x:c>
      <x:c r="K72" s="13" t="str">
        <x:v>Jute pith is a potential separate tradable material.</x:v>
      </x:c>
    </x:row>
    <x:row r="73">
      <x:c r="A73" s="13" t="str">
        <x:v>9. Textile, Garment, Jute, Coir &amp; Leather Industries</x:v>
      </x:c>
      <x:c r="B73" s="13" t="str">
        <x:v>Coir Processing</x:v>
      </x:c>
      <x:c r="C73" s="13" t="str">
        <x:v>Processor</x:v>
      </x:c>
      <x:c r="D73" s="13" t="str">
        <x:v>Coconut husk</x:v>
      </x:c>
      <x:c r="E73" s="13" t="str">
        <x:v>Coir fibre, coir pith, mats/products</x:v>
      </x:c>
      <x:c r="F73" s="13" t="str">
        <x:v>Coir pith, fibre fines</x:v>
      </x:c>
      <x:c r="G73" s="13" t="str">
        <x:v>Dust, screenings</x:v>
      </x:c>
      <x:c r="H73" s="13" t="str">
        <x:v>Mixed contaminated residue</x:v>
      </x:c>
      <x:c r="I73" s="13" t="str">
        <x:v>Horticulture / geotextile / board processor</x:v>
      </x:c>
      <x:c r="J73" s="13" t="str">
        <x:v>Coir pith / fibre</x:v>
      </x:c>
      <x:c r="K73" s="13" t="str">
        <x:v>Moisture and salinity can affect value.</x:v>
      </x:c>
    </x:row>
    <x:row r="74">
      <x:c r="A74" s="13" t="str">
        <x:v>9. Textile, Garment, Jute, Coir &amp; Leather Industries</x:v>
      </x:c>
      <x:c r="B74" s="13" t="str">
        <x:v>Leather &amp; Tanning</x:v>
      </x:c>
      <x:c r="C74" s="13" t="str">
        <x:v>Processor / Manufacturer</x:v>
      </x:c>
      <x:c r="D74" s="13" t="str">
        <x:v>Hides/skins, tanning chemicals</x:v>
      </x:c>
      <x:c r="E74" s="13" t="str">
        <x:v>Leather / finished leather</x:v>
      </x:c>
      <x:c r="F74" s="13" t="str">
        <x:v>Leather offcuts, trimmings, collagen-related by-products</x:v>
      </x:c>
      <x:c r="G74" s="13" t="str">
        <x:v>Fleshing, hair, shaving dust</x:v>
      </x:c>
      <x:c r="H74" s="13" t="str">
        <x:v>Chromium-bearing sludge / wastewater sludge</x:v>
      </x:c>
      <x:c r="I74" s="13" t="str">
        <x:v>Leather recycler / authorised waste handler</x:v>
      </x:c>
      <x:c r="J74" s="13" t="str">
        <x:v>Leather scrap / regulated residue</x:v>
      </x:c>
      <x:c r="K74" s="13" t="str">
        <x:v>Chromium status is an essential material attribute.</x:v>
      </x:c>
    </x:row>
    <x:row r="75">
      <x:c r="A75" s="13" t="str">
        <x:v>10. Wood, Timber, Furniture &amp; Biomass-Board Industries</x:v>
      </x:c>
      <x:c r="B75" s="13" t="str">
        <x:v>Saw Mills &amp; Timber Processing</x:v>
      </x:c>
      <x:c r="C75" s="13" t="str">
        <x:v>Processor</x:v>
      </x:c>
      <x:c r="D75" s="13" t="str">
        <x:v>Logs / timber</x:v>
      </x:c>
      <x:c r="E75" s="13" t="str">
        <x:v>Sawn timber</x:v>
      </x:c>
      <x:c r="F75" s="13" t="str">
        <x:v>Sawdust, bark, wood chips, offcuts</x:v>
      </x:c>
      <x:c r="G75" s="13" t="str">
        <x:v>Dust and fines</x:v>
      </x:c>
      <x:c r="H75" s="13" t="str">
        <x:v>Contaminated residue</x:v>
      </x:c>
      <x:c r="I75" s="13" t="str">
        <x:v>Particleboard / pellet / briquette / biomass user</x:v>
      </x:c>
      <x:c r="J75" s="13" t="str">
        <x:v>Sawdust / wood chips</x:v>
      </x:c>
      <x:c r="K75" s="13" t="str">
        <x:v>Keep clean wood separate from treated/painted wood.</x:v>
      </x:c>
    </x:row>
    <x:row r="76">
      <x:c r="A76" s="13" t="str">
        <x:v>10. Wood, Timber, Furniture &amp; Biomass-Board Industries</x:v>
      </x:c>
      <x:c r="B76" s="13" t="str">
        <x:v>Plywood, Veneer &amp; Laminates</x:v>
      </x:c>
      <x:c r="C76" s="13" t="str">
        <x:v>Manufacturer</x:v>
      </x:c>
      <x:c r="D76" s="13" t="str">
        <x:v>Timber/veneer, resin adhesives</x:v>
      </x:c>
      <x:c r="E76" s="13" t="str">
        <x:v>Plywood, veneer, laminates</x:v>
      </x:c>
      <x:c r="F76" s="13" t="str">
        <x:v>Clean veneer offcuts, wood chips</x:v>
      </x:c>
      <x:c r="G76" s="13" t="str">
        <x:v>Wood dust, trimming scrap</x:v>
      </x:c>
      <x:c r="H76" s="13" t="str">
        <x:v>Resin-contaminated residues</x:v>
      </x:c>
      <x:c r="I76" s="13" t="str">
        <x:v>Board / biomass processor</x:v>
      </x:c>
      <x:c r="J76" s="13" t="str">
        <x:v>Wood scrap / veneer waste</x:v>
      </x:c>
      <x:c r="K76" s="13" t="str">
        <x:v>Adhesive chemistry affects end use.</x:v>
      </x:c>
    </x:row>
    <x:row r="77">
      <x:c r="A77" s="13" t="str">
        <x:v>10. Wood, Timber, Furniture &amp; Biomass-Board Industries</x:v>
      </x:c>
      <x:c r="B77" s="13" t="str">
        <x:v>Particle Board / MDF / Composite Boards</x:v>
      </x:c>
      <x:c r="C77" s="13" t="str">
        <x:v>Manufacturer</x:v>
      </x:c>
      <x:c r="D77" s="13" t="str">
        <x:v>Wood chips, sawdust, agricultural fibre, adhesives</x:v>
      </x:c>
      <x:c r="E77" s="13" t="str">
        <x:v>Boards / composite panels</x:v>
      </x:c>
      <x:c r="F77" s="13" t="str">
        <x:v>Clean trim, sanding dust where reusable</x:v>
      </x:c>
      <x:c r="G77" s="13" t="str">
        <x:v>Rejected board, dust</x:v>
      </x:c>
      <x:c r="H77" s="13" t="str">
        <x:v>Adhesive-contaminated residuals</x:v>
      </x:c>
      <x:c r="I77" s="13" t="str">
        <x:v>Board/biomass processor</x:v>
      </x:c>
      <x:c r="J77" s="13" t="str">
        <x:v>Wood composite scrap</x:v>
      </x:c>
      <x:c r="K77" s="13" t="str">
        <x:v>Distinguish clean industrial scrap from finished-board waste.</x:v>
      </x:c>
    </x:row>
    <x:row r="78">
      <x:c r="A78" s="13" t="str">
        <x:v>10. Wood, Timber, Furniture &amp; Biomass-Board Industries</x:v>
      </x:c>
      <x:c r="B78" s="13" t="str">
        <x:v>Furniture Manufacturing</x:v>
      </x:c>
      <x:c r="C78" s="13" t="str">
        <x:v>Manufacturer</x:v>
      </x:c>
      <x:c r="D78" s="13" t="str">
        <x:v>Wood/board, hardware, coatings</x:v>
      </x:c>
      <x:c r="E78" s="13" t="str">
        <x:v>Furniture</x:v>
      </x:c>
      <x:c r="F78" s="13" t="str">
        <x:v>Wood offcuts, packaging material</x:v>
      </x:c>
      <x:c r="G78" s="13" t="str">
        <x:v>Sawdust, coating waste</x:v>
      </x:c>
      <x:c r="H78" s="13" t="str">
        <x:v>Paint/coating residue</x:v>
      </x:c>
      <x:c r="I78" s="13" t="str">
        <x:v>Wood recycler / panel processor / authorised handler</x:v>
      </x:c>
      <x:c r="J78" s="13" t="str">
        <x:v>Clean wood scrap</x:v>
      </x:c>
      <x:c r="K78" s="13" t="str">
        <x:v>Furniture repair/reuse is a separate route.</x:v>
      </x:c>
    </x:row>
    <x:row r="79">
      <x:c r="A79" s="13" t="str">
        <x:v>10. Wood, Timber, Furniture &amp; Biomass-Board Industries</x:v>
      </x:c>
      <x:c r="B79" s="13" t="str">
        <x:v>Biomass Briquette &amp; Pellet Manufacturing</x:v>
      </x:c>
      <x:c r="C79" s="13" t="str">
        <x:v>Pre-processor / Processor</x:v>
      </x:c>
      <x:c r="D79" s="13" t="str">
        <x:v>Sawdust, biomass residues, agro residues</x:v>
      </x:c>
      <x:c r="E79" s="13" t="str">
        <x:v>Briquettes / pellets</x:v>
      </x:c>
      <x:c r="F79" s="13" t="str">
        <x:v>Oversize feedstock, fines recyclable internally</x:v>
      </x:c>
      <x:c r="G79" s="13" t="str">
        <x:v>Dust / rejected biomass</x:v>
      </x:c>
      <x:c r="H79" s="13" t="str">
        <x:v>Contaminated biomass residue</x:v>
      </x:c>
      <x:c r="I79" s="13" t="str">
        <x:v>Industrial fuel user / biomass processor</x:v>
      </x:c>
      <x:c r="J79" s="13" t="str">
        <x:v>Biomass fuel / fines</x:v>
      </x:c>
      <x:c r="K79" s="13" t="str">
        <x:v>Fuel specification should be captured.</x:v>
      </x:c>
    </x:row>
    <x:row r="80">
      <x:c r="A80" s="13" t="str">
        <x:v>11. Mining, Minerals, Cement, Bricks, Glass &amp; Ceramics</x:v>
      </x:c>
      <x:c r="B80" s="13" t="str">
        <x:v>Coal Mining &amp; Washeries</x:v>
      </x:c>
      <x:c r="C80" s="13" t="str">
        <x:v>Mineral Processor</x:v>
      </x:c>
      <x:c r="D80" s="13" t="str">
        <x:v>Run-of-mine coal</x:v>
      </x:c>
      <x:c r="E80" s="13" t="str">
        <x:v>Coal / washed coal</x:v>
      </x:c>
      <x:c r="F80" s="13" t="str">
        <x:v>Coal fines where recoverable</x:v>
      </x:c>
      <x:c r="G80" s="13" t="str">
        <x:v>Reject coal / washery fines</x:v>
      </x:c>
      <x:c r="H80" s="13" t="str">
        <x:v>Overburden / sludge</x:v>
      </x:c>
      <x:c r="I80" s="13" t="str">
        <x:v>Cement / power / mineral processor</x:v>
      </x:c>
      <x:c r="J80" s="13" t="str">
        <x:v>Coal fines / mineral rejects</x:v>
      </x:c>
      <x:c r="K80" s="13" t="str">
        <x:v>Source, ash and moisture are essential attributes.</x:v>
      </x:c>
    </x:row>
    <x:row r="81">
      <x:c r="A81" s="13" t="str">
        <x:v>11. Mining, Minerals, Cement, Bricks, Glass &amp; Ceramics</x:v>
      </x:c>
      <x:c r="B81" s="13" t="str">
        <x:v>Mineral Mining &amp; Beneficiation</x:v>
      </x:c>
      <x:c r="C81" s="13" t="str">
        <x:v>Mineral Processor</x:v>
      </x:c>
      <x:c r="D81" s="13" t="str">
        <x:v>Mineral ore / rock</x:v>
      </x:c>
      <x:c r="E81" s="13" t="str">
        <x:v>Concentrate / graded minerals</x:v>
      </x:c>
      <x:c r="F81" s="13" t="str">
        <x:v>Mineral fines, usable by-product minerals</x:v>
      </x:c>
      <x:c r="G81" s="13" t="str">
        <x:v>Tailings, dust, slurry</x:v>
      </x:c>
      <x:c r="H81" s="13" t="str">
        <x:v>Unusable overburden / residues</x:v>
      </x:c>
      <x:c r="I81" s="13" t="str">
        <x:v>Mineral processor / construction-material user</x:v>
      </x:c>
      <x:c r="J81" s="13" t="str">
        <x:v>Mineral fines / tailings</x:v>
      </x:c>
      <x:c r="K81" s="13" t="str">
        <x:v>Reuse depends on mineralogy.</x:v>
      </x:c>
    </x:row>
    <x:row r="82">
      <x:c r="A82" s="13" t="str">
        <x:v>11. Mining, Minerals, Cement, Bricks, Glass &amp; Ceramics</x:v>
      </x:c>
      <x:c r="B82" s="13" t="str">
        <x:v>Crushing / Grinding / Screening</x:v>
      </x:c>
      <x:c r="C82" s="13" t="str">
        <x:v>Pre-processor</x:v>
      </x:c>
      <x:c r="D82" s="13" t="str">
        <x:v>Rock/mineral feed</x:v>
      </x:c>
      <x:c r="E82" s="13" t="str">
        <x:v>Graded aggregates / powders</x:v>
      </x:c>
      <x:c r="F82" s="13" t="str">
        <x:v>Stone dust, mineral fines</x:v>
      </x:c>
      <x:c r="G82" s="13" t="str">
        <x:v>Screen rejects</x:v>
      </x:c>
      <x:c r="H82" s="13" t="str">
        <x:v>Slurry where washing occurs</x:v>
      </x:c>
      <x:c r="I82" s="13" t="str">
        <x:v>Construction-material user / mineral processor</x:v>
      </x:c>
      <x:c r="J82" s="13" t="str">
        <x:v>Aggregate / mineral fines</x:v>
      </x:c>
      <x:c r="K82" s="13" t="str">
        <x:v>Particle size is a core trading attribute.</x:v>
      </x:c>
    </x:row>
    <x:row r="83">
      <x:c r="A83" s="13" t="str">
        <x:v>11. Mining, Minerals, Cement, Bricks, Glass &amp; Ceramics</x:v>
      </x:c>
      <x:c r="B83" s="13" t="str">
        <x:v>Cement / Clinker / Building Materials</x:v>
      </x:c>
      <x:c r="C83" s="13" t="str">
        <x:v>Manufacturer</x:v>
      </x:c>
      <x:c r="D83" s="13" t="str">
        <x:v>Limestone, clinker, gypsum, supplementary materials</x:v>
      </x:c>
      <x:c r="E83" s="13" t="str">
        <x:v>Cement / clinker / construction materials</x:v>
      </x:c>
      <x:c r="F83" s="13" t="str">
        <x:v>Cement dust/process fines, accepted secondary minerals</x:v>
      </x:c>
      <x:c r="G83" s="13" t="str">
        <x:v>Rejected cement/product</x:v>
      </x:c>
      <x:c r="H83" s="13" t="str">
        <x:v>Kiln/process residues</x:v>
      </x:c>
      <x:c r="I83" s="13" t="str">
        <x:v>Cement / mineral processor</x:v>
      </x:c>
      <x:c r="J83" s="13" t="str">
        <x:v>Mineral secondary material</x:v>
      </x:c>
      <x:c r="K83" s="13" t="str">
        <x:v>Use as fuel/feedstock requires separate verification.</x:v>
      </x:c>
    </x:row>
    <x:row r="84">
      <x:c r="A84" s="13" t="str">
        <x:v>11. Mining, Minerals, Cement, Bricks, Glass &amp; Ceramics</x:v>
      </x:c>
      <x:c r="B84" s="13" t="str">
        <x:v>Brick / AAC Block Manufacturing</x:v>
      </x:c>
      <x:c r="C84" s="13" t="str">
        <x:v>Manufacturer</x:v>
      </x:c>
      <x:c r="D84" s="13" t="str">
        <x:v>Clay, fly ash, sand, cementitious inputs</x:v>
      </x:c>
      <x:c r="E84" s="13" t="str">
        <x:v>Bricks / blocks</x:v>
      </x:c>
      <x:c r="F84" s="13" t="str">
        <x:v>Broken bricks, clean off-spec blocks</x:v>
      </x:c>
      <x:c r="G84" s="13" t="str">
        <x:v>Cutting dust, rejects</x:v>
      </x:c>
      <x:c r="H84" s="13" t="str">
        <x:v>Contaminated process residue</x:v>
      </x:c>
      <x:c r="I84" s="13" t="str">
        <x:v>Aggregate / construction-material recycler</x:v>
      </x:c>
      <x:c r="J84" s="13" t="str">
        <x:v>Brick/aggregate scrap</x:v>
      </x:c>
      <x:c r="K84" s="13" t="str">
        <x:v>Separate reusable product from reject.</x:v>
      </x:c>
    </x:row>
    <x:row r="85">
      <x:c r="A85" s="13" t="str">
        <x:v>11. Mining, Minerals, Cement, Bricks, Glass &amp; Ceramics</x:v>
      </x:c>
      <x:c r="B85" s="13" t="str">
        <x:v>Glass Manufacturing</x:v>
      </x:c>
      <x:c r="C85" s="13" t="str">
        <x:v>Manufacturer</x:v>
      </x:c>
      <x:c r="D85" s="13" t="str">
        <x:v>Silica, soda ash, cullet, additives</x:v>
      </x:c>
      <x:c r="E85" s="13" t="str">
        <x:v>Glass products / containers</x:v>
      </x:c>
      <x:c r="F85" s="13" t="str">
        <x:v>Glass cullet, reusable off-spec glass</x:v>
      </x:c>
      <x:c r="G85" s="13" t="str">
        <x:v>Glass fines, refractory fragments</x:v>
      </x:c>
      <x:c r="H85" s="13" t="str">
        <x:v>Contaminated glass/refractory residue</x:v>
      </x:c>
      <x:c r="I85" s="13" t="str">
        <x:v>Glass recycler / aggregate user</x:v>
      </x:c>
      <x:c r="J85" s="13" t="str">
        <x:v>Glass cullet</x:v>
      </x:c>
      <x:c r="K85" s="13" t="str">
        <x:v>Colour and chemistry affect furnace value.</x:v>
      </x:c>
    </x:row>
    <x:row r="86">
      <x:c r="A86" s="13" t="str">
        <x:v>11. Mining, Minerals, Cement, Bricks, Glass &amp; Ceramics</x:v>
      </x:c>
      <x:c r="B86" s="13" t="str">
        <x:v>Glass Recycling</x:v>
      </x:c>
      <x:c r="C86" s="13" t="str">
        <x:v>Pre-processor / Recycler</x:v>
      </x:c>
      <x:c r="D86" s="13" t="str">
        <x:v>Post-consumer glass</x:v>
      </x:c>
      <x:c r="E86" s="13" t="str">
        <x:v>Sorted / crushed furnace-ready cullet</x:v>
      </x:c>
      <x:c r="F86" s="13" t="str">
        <x:v>Colour-separated cullet, glass fines where usable</x:v>
      </x:c>
      <x:c r="G86" s="13" t="str">
        <x:v>Ceramics, stones, metals, mixed glass</x:v>
      </x:c>
      <x:c r="H86" s="13" t="str">
        <x:v>Non-glass contamination</x:v>
      </x:c>
      <x:c r="I86" s="13" t="str">
        <x:v>Glass manufacturer / aggregate user</x:v>
      </x:c>
      <x:c r="J86" s="13" t="str">
        <x:v>Glass cullet</x:v>
      </x:c>
      <x:c r="K86" s="13" t="str">
        <x:v>Colour, contamination and particle size are important.</x:v>
      </x:c>
    </x:row>
    <x:row r="87">
      <x:c r="A87" s="13" t="str">
        <x:v>11. Mining, Minerals, Cement, Bricks, Glass &amp; Ceramics</x:v>
      </x:c>
      <x:c r="B87" s="13" t="str">
        <x:v>Ceramics &amp; Tiles</x:v>
      </x:c>
      <x:c r="C87" s="13" t="str">
        <x:v>Manufacturer</x:v>
      </x:c>
      <x:c r="D87" s="13" t="str">
        <x:v>Clay/minerals, glazes</x:v>
      </x:c>
      <x:c r="E87" s="13" t="str">
        <x:v>Ceramic products / tiles</x:v>
      </x:c>
      <x:c r="F87" s="13" t="str">
        <x:v>Clean ceramic rejects for aggregate/raw-material use where accepted</x:v>
      </x:c>
      <x:c r="G87" s="13" t="str">
        <x:v>Ceramic scrap, glaze residues</x:v>
      </x:c>
      <x:c r="H87" s="13" t="str">
        <x:v>Dust/sludge/refractory waste</x:v>
      </x:c>
      <x:c r="I87" s="13" t="str">
        <x:v>Aggregate / ceramic processor</x:v>
      </x:c>
      <x:c r="J87" s="13" t="str">
        <x:v>Ceramic scrap</x:v>
      </x:c>
      <x:c r="K87" s="13" t="str">
        <x:v>Technical acceptance by end-user is important.</x:v>
      </x:c>
    </x:row>
    <x:row r="88">
      <x:c r="A88" s="13" t="str">
        <x:v>11. Mining, Minerals, Cement, Bricks, Glass &amp; Ceramics</x:v>
      </x:c>
      <x:c r="B88" s="13" t="str">
        <x:v>Stone Cutting &amp; Polishing</x:v>
      </x:c>
      <x:c r="C88" s="13" t="str">
        <x:v>Processor</x:v>
      </x:c>
      <x:c r="D88" s="13" t="str">
        <x:v>Blocks/slabs of stone</x:v>
      </x:c>
      <x:c r="E88" s="13" t="str">
        <x:v>Slabs / tiles / cut stone</x:v>
      </x:c>
      <x:c r="F88" s="13" t="str">
        <x:v>Stone offcuts / chips</x:v>
      </x:c>
      <x:c r="G88" s="13" t="str">
        <x:v>Stone dust and slurry</x:v>
      </x:c>
      <x:c r="H88" s="13" t="str">
        <x:v>Contaminated polishing residue</x:v>
      </x:c>
      <x:c r="I88" s="13" t="str">
        <x:v>Aggregate / mineral processor</x:v>
      </x:c>
      <x:c r="J88" s="13" t="str">
        <x:v>Stone scrap / mineral fines</x:v>
      </x:c>
      <x:c r="K88" s="13" t="str">
        <x:v>Wet slurry should be separately tracked.</x:v>
      </x:c>
    </x:row>
    <x:row r="89">
      <x:c r="A89" s="13" t="str">
        <x:v>11. Mining, Minerals, Cement, Bricks, Glass &amp; Ceramics</x:v>
      </x:c>
      <x:c r="B89" s="13" t="str">
        <x:v>Hot Mix / Asphalt Materials</x:v>
      </x:c>
      <x:c r="C89" s="13" t="str">
        <x:v>Processor</x:v>
      </x:c>
      <x:c r="D89" s="13" t="str">
        <x:v>Aggregates, bitumen, recycled asphalt</x:v>
      </x:c>
      <x:c r="E89" s="13" t="str">
        <x:v>Asphalt mix / road materials</x:v>
      </x:c>
      <x:c r="F89" s="13" t="str">
        <x:v>Reclaimed asphalt pavement / clean aggregate</x:v>
      </x:c>
      <x:c r="G89" s="13" t="str">
        <x:v>Dust, rejects</x:v>
      </x:c>
      <x:c r="H89" s="13" t="str">
        <x:v>Bituminous contaminated residues</x:v>
      </x:c>
      <x:c r="I89" s="13" t="str">
        <x:v>Road-material / aggregate processor</x:v>
      </x:c>
      <x:c r="J89" s="13" t="str">
        <x:v>RAP / aggregate scrap</x:v>
      </x:c>
      <x:c r="K89" s="13" t="str">
        <x:v>Track gradation and bitumen content where relevant.</x:v>
      </x:c>
    </x:row>
    <x:row r="90">
      <x:c r="A90" s="13" t="str">
        <x:v>12. Energy, Biomass, CBG, Hydrogen, Industrial Gas &amp; Water</x:v>
      </x:c>
      <x:c r="B90" s="13" t="str">
        <x:v>Coal-Based Thermal Power</x:v>
      </x:c>
      <x:c r="C90" s="13" t="str">
        <x:v>Utility / Energy Producer</x:v>
      </x:c>
      <x:c r="D90" s="13" t="str">
        <x:v>Coal, water</x:v>
      </x:c>
      <x:c r="E90" s="13" t="str">
        <x:v>Electricity</x:v>
      </x:c>
      <x:c r="F90" s="13" t="str">
        <x:v>Fly ash, bottom ash, gypsum where applicable</x:v>
      </x:c>
      <x:c r="G90" s="13" t="str">
        <x:v>Boiler dust, process residues</x:v>
      </x:c>
      <x:c r="H90" s="13" t="str">
        <x:v>Treatment sludge</x:v>
      </x:c>
      <x:c r="I90" s="13" t="str">
        <x:v>Cement / brick / construction-material user</x:v>
      </x:c>
      <x:c r="J90" s="13" t="str">
        <x:v>Fly ash / bottom ash / gypsum</x:v>
      </x:c>
      <x:c r="K90" s="13" t="str">
        <x:v>By-product status and permitted end use must be verified.</x:v>
      </x:c>
    </x:row>
    <x:row r="91">
      <x:c r="A91" s="13" t="str">
        <x:v>12. Energy, Biomass, CBG, Hydrogen, Industrial Gas &amp; Water</x:v>
      </x:c>
      <x:c r="B91" s="13" t="str">
        <x:v>Biomass Power</x:v>
      </x:c>
      <x:c r="C91" s="13" t="str">
        <x:v>Utility / Energy Producer</x:v>
      </x:c>
      <x:c r="D91" s="13" t="str">
        <x:v>Biomass / agro residues</x:v>
      </x:c>
      <x:c r="E91" s="13" t="str">
        <x:v>Electricity</x:v>
      </x:c>
      <x:c r="F91" s="13" t="str">
        <x:v>Biomass ash where accepted</x:v>
      </x:c>
      <x:c r="G91" s="13" t="str">
        <x:v>Boiler residues</x:v>
      </x:c>
      <x:c r="H91" s="13" t="str">
        <x:v>Contaminated residues</x:v>
      </x:c>
      <x:c r="I91" s="13" t="str">
        <x:v>Cement / soil / material user where approved</x:v>
      </x:c>
      <x:c r="J91" s="13" t="str">
        <x:v>Biomass ash</x:v>
      </x:c>
      <x:c r="K91" s="13" t="str">
        <x:v>Fuel origin should be traceable.</x:v>
      </x:c>
    </x:row>
    <x:row r="92">
      <x:c r="A92" s="13" t="str">
        <x:v>12. Energy, Biomass, CBG, Hydrogen, Industrial Gas &amp; Water</x:v>
      </x:c>
      <x:c r="B92" s="13" t="str">
        <x:v>CBG from Organic / Process Waste</x:v>
      </x:c>
      <x:c r="C92" s="13" t="str">
        <x:v>Waste Processor / Bioenergy</x:v>
      </x:c>
      <x:c r="D92" s="13" t="str">
        <x:v>Organic waste, crop residues, process waste</x:v>
      </x:c>
      <x:c r="E92" s="13" t="str">
        <x:v>CBG / biogas</x:v>
      </x:c>
      <x:c r="F92" s="13" t="str">
        <x:v>Digestate, FOM/LFOM, recovered biogas</x:v>
      </x:c>
      <x:c r="G92" s="13" t="str">
        <x:v>Inert rejects, separated plastics</x:v>
      </x:c>
      <x:c r="H92" s="13" t="str">
        <x:v>Non-digestible residuals</x:v>
      </x:c>
      <x:c r="I92" s="13" t="str">
        <x:v>Agriculture / fuel users / waste handler</x:v>
      </x:c>
      <x:c r="J92" s="13" t="str">
        <x:v>Digestate / CBG</x:v>
      </x:c>
      <x:c r="K92" s="13" t="str">
        <x:v>A key closed-loop platform stream.</x:v>
      </x:c>
    </x:row>
    <x:row r="93">
      <x:c r="A93" s="13" t="str">
        <x:v>12. Energy, Biomass, CBG, Hydrogen, Industrial Gas &amp; Water</x:v>
      </x:c>
      <x:c r="B93" s="13" t="str">
        <x:v>Briquette / Pellet Fuel</x:v>
      </x:c>
      <x:c r="C93" s="13" t="str">
        <x:v>Pre-processor / Processor</x:v>
      </x:c>
      <x:c r="D93" s="13" t="str">
        <x:v>Agro/wood/biomass residues</x:v>
      </x:c>
      <x:c r="E93" s="13" t="str">
        <x:v>Briquettes / pellets</x:v>
      </x:c>
      <x:c r="F93" s="13" t="str">
        <x:v>Fines and clean oversize feedstock</x:v>
      </x:c>
      <x:c r="G93" s="13" t="str">
        <x:v>Dust / reject feedstock</x:v>
      </x:c>
      <x:c r="H93" s="13" t="str">
        <x:v>Contaminated residue</x:v>
      </x:c>
      <x:c r="I93" s="13" t="str">
        <x:v>Industrial boiler / power / thermal user</x:v>
      </x:c>
      <x:c r="J93" s="13" t="str">
        <x:v>Biomass fuel</x:v>
      </x:c>
      <x:c r="K93" s="13" t="str">
        <x:v>Fuel quality is critical for matching buyers.</x:v>
      </x:c>
    </x:row>
    <x:row r="94">
      <x:c r="A94" s="13" t="str">
        <x:v>12. Energy, Biomass, CBG, Hydrogen, Industrial Gas &amp; Water</x:v>
      </x:c>
      <x:c r="B94" s="13" t="str">
        <x:v>Industrial Gas Production</x:v>
      </x:c>
      <x:c r="C94" s="13" t="str">
        <x:v>Gas Producer</x:v>
      </x:c>
      <x:c r="D94" s="13" t="str">
        <x:v>Air / industrial gas feedstocks</x:v>
      </x:c>
      <x:c r="E94" s="13" t="str">
        <x:v>Industrial gases</x:v>
      </x:c>
      <x:c r="F94" s="13" t="str">
        <x:v>Separated gas fractions as products</x:v>
      </x:c>
      <x:c r="G94" s="13" t="str">
        <x:v>Filter media, maintenance residues</x:v>
      </x:c>
      <x:c r="H94" s="13" t="str">
        <x:v>Process/maintenance residues</x:v>
      </x:c>
      <x:c r="I94" s="13" t="str">
        <x:v>Industrial gas user / authorised waste handler</x:v>
      </x:c>
      <x:c r="J94" s="13" t="str">
        <x:v>Industrial gas product</x:v>
      </x:c>
      <x:c r="K94" s="13" t="str">
        <x:v>Not primarily a scrap chain, but useful as an industrial marketplace.</x:v>
      </x:c>
    </x:row>
    <x:row r="95">
      <x:c r="A95" s="13" t="str">
        <x:v>12. Energy, Biomass, CBG, Hydrogen, Industrial Gas &amp; Water</x:v>
      </x:c>
      <x:c r="B95" s="13" t="str">
        <x:v>Water Purification / Distillation</x:v>
      </x:c>
      <x:c r="C95" s="13" t="str">
        <x:v>Utility / Processor</x:v>
      </x:c>
      <x:c r="D95" s="13" t="str">
        <x:v>Raw/process water</x:v>
      </x:c>
      <x:c r="E95" s="13" t="str">
        <x:v>Purified / distilled water</x:v>
      </x:c>
      <x:c r="F95" s="13" t="str">
        <x:v>Recovered salts in selected systems</x:v>
      </x:c>
      <x:c r="G95" s="13" t="str">
        <x:v>Reject water, spent filter media</x:v>
      </x:c>
      <x:c r="H95" s="13" t="str">
        <x:v>Treatment sludge</x:v>
      </x:c>
      <x:c r="I95" s="13" t="str">
        <x:v>Water-treatment / authorised waste route</x:v>
      </x:c>
      <x:c r="J95" s="13" t="str">
        <x:v>Recovered salt / filter media</x:v>
      </x:c>
      <x:c r="K95" s="13" t="str">
        <x:v>Water is a service/product stream, not ordinary scrap.</x:v>
      </x:c>
    </x:row>
    <x:row r="96">
      <x:c r="A96" s="13" t="str">
        <x:v>13. Environmental, Waste-Recovery &amp; Special Material Processing</x:v>
      </x:c>
      <x:c r="B96" s="13" t="str">
        <x:v>Dry-Waste Sorting / MRF</x:v>
      </x:c>
      <x:c r="C96" s="13" t="str">
        <x:v>Pre-processor / Aggregator</x:v>
      </x:c>
      <x:c r="D96" s="13" t="str">
        <x:v>Mixed dry recyclable waste</x:v>
      </x:c>
      <x:c r="E96" s="13" t="str">
        <x:v>Grade-separated material streams / bales</x:v>
      </x:c>
      <x:c r="F96" s="13" t="str">
        <x:v>Paper, PET, HDPE, PP, metals, glass, textiles</x:v>
      </x:c>
      <x:c r="G96" s="13" t="str">
        <x:v>Mixed low-value plastics, fines, rejects</x:v>
      </x:c>
      <x:c r="H96" s="13" t="str">
        <x:v>Non-recyclable residual waste</x:v>
      </x:c>
      <x:c r="I96" s="13" t="str">
        <x:v>Specialist recycler / yard</x:v>
      </x:c>
      <x:c r="J96" s="13" t="str">
        <x:v>Sorted material / bale</x:v>
      </x:c>
      <x:c r="K96" s="13" t="str">
        <x:v>This is a core Luma.Green user type.</x:v>
      </x:c>
    </x:row>
    <x:row r="97">
      <x:c r="A97" s="13" t="str">
        <x:v>13. Environmental, Waste-Recovery &amp; Special Material Processing</x:v>
      </x:c>
      <x:c r="B97" s="13" t="str">
        <x:v>Hazardous-Waste Pre-Processing</x:v>
      </x:c>
      <x:c r="C97" s="13" t="str">
        <x:v>Pre-processor / Recovery</x:v>
      </x:c>
      <x:c r="D97" s="13" t="str">
        <x:v>Hazardous/industrial waste streams</x:v>
      </x:c>
      <x:c r="E97" s="13" t="str">
        <x:v>Conditioned/recovered material or fuel feedstock where authorised</x:v>
      </x:c>
      <x:c r="F97" s="13" t="str">
        <x:v>Recovered solvents, oils, metals or other accepted material</x:v>
      </x:c>
      <x:c r="G97" s="13" t="str">
        <x:v>Treated/conditioned feed fractions</x:v>
      </x:c>
      <x:c r="H97" s="13" t="str">
        <x:v>Hazardous sludge / unrecoverable residue</x:v>
      </x:c>
      <x:c r="I97" s="13" t="str">
        <x:v>Authorised recovery / TSDF / co-processor</x:v>
      </x:c>
      <x:c r="J97" s="13" t="str">
        <x:v>Recovered hazardous stream / residual</x:v>
      </x:c>
      <x:c r="K97" s="13" t="str">
        <x:v>Material must remain compliance-controlled.</x:v>
      </x:c>
    </x:row>
    <x:row r="98">
      <x:c r="A98" s="13" t="str">
        <x:v>13. Environmental, Waste-Recovery &amp; Special Material Processing</x:v>
      </x:c>
      <x:c r="B98" s="13" t="str">
        <x:v>CETP / ETP / ZLD Support</x:v>
      </x:c>
      <x:c r="C98" s="13" t="str">
        <x:v>Treatment Service</x:v>
      </x:c>
      <x:c r="D98" s="13" t="str">
        <x:v>Industrial effluent</x:v>
      </x:c>
      <x:c r="E98" s="13" t="str">
        <x:v>Treated water / recovered salts where feasible</x:v>
      </x:c>
      <x:c r="F98" s="13" t="str">
        <x:v>Recovered salt/chemical fractions in selected systems</x:v>
      </x:c>
      <x:c r="G98" s="13" t="str">
        <x:v>ETP sludge, filter cake</x:v>
      </x:c>
      <x:c r="H98" s="13" t="str">
        <x:v>Hazardous/contaminated treatment residue</x:v>
      </x:c>
      <x:c r="I98" s="13" t="str">
        <x:v>Authorised waste handler / recovery facility</x:v>
      </x:c>
      <x:c r="J98" s="13" t="str">
        <x:v>Treatment by-product / regulated waste</x:v>
      </x:c>
      <x:c r="K98" s="13" t="str">
        <x:v>Primarily a compliance/service module.</x:v>
      </x:c>
    </x:row>
    <x:row r="99">
      <x:c r="A99" s="13" t="str">
        <x:v>13. Environmental, Waste-Recovery &amp; Special Material Processing</x:v>
      </x:c>
      <x:c r="B99" s="13" t="str">
        <x:v>Solvent / Acid Recovery Facility</x:v>
      </x:c>
      <x:c r="C99" s="13" t="str">
        <x:v>Recovery Processor</x:v>
      </x:c>
      <x:c r="D99" s="13" t="str">
        <x:v>Spent solvent / spent acid</x:v>
      </x:c>
      <x:c r="E99" s="13" t="str">
        <x:v>Recovered solvent / acid</x:v>
      </x:c>
      <x:c r="F99" s="13" t="str">
        <x:v>Recovered chemical stream</x:v>
      </x:c>
      <x:c r="G99" s="13" t="str">
        <x:v>Still bottoms / spent media</x:v>
      </x:c>
      <x:c r="H99" s="13" t="str">
        <x:v>Unrecoverable hazardous residue</x:v>
      </x:c>
      <x:c r="I99" s="13" t="str">
        <x:v>Chemical processor / authorised route</x:v>
      </x:c>
      <x:c r="J99" s="13" t="str">
        <x:v>Recovered chemical</x:v>
      </x:c>
      <x:c r="K99" s="13" t="str">
        <x:v>High-value industrial recovery node.</x:v>
      </x:c>
    </x:row>
    <x:row r="100">
      <x:c r="A100" s="13" t="str">
        <x:v>13. Environmental, Waste-Recovery &amp; Special Material Processing</x:v>
      </x:c>
      <x:c r="B100" s="13" t="str">
        <x:v>E-Waste / Battery Authorised Recycler</x:v>
      </x:c>
      <x:c r="C100" s="13" t="str">
        <x:v>Recycler / Recovery Processor</x:v>
      </x:c>
      <x:c r="D100" s="13" t="str">
        <x:v>E-waste / battery waste</x:v>
      </x:c>
      <x:c r="E100" s="13" t="str">
        <x:v>Recovered metals and material fractions</x:v>
      </x:c>
      <x:c r="F100" s="13" t="str">
        <x:v>Copper, aluminium, plastics, glass, recovered battery materials</x:v>
      </x:c>
      <x:c r="G100" s="13" t="str">
        <x:v>Leach residues, process sludge, spent media</x:v>
      </x:c>
      <x:c r="H100" s="13" t="str">
        <x:v>Hazardous treatment residual</x:v>
      </x:c>
      <x:c r="I100" s="13" t="str">
        <x:v>Specialist refiner / authorised handler</x:v>
      </x:c>
      <x:c r="J100" s="13" t="str">
        <x:v>Recovered metal / secondary battery material</x:v>
      </x:c>
      <x:c r="K100" s="13" t="str">
        <x:v>Use registration/authorisation verification in onboarding.</x:v>
      </x:c>
    </x:row>
    <x:row r="101">
      <x:c r="A101" s="13" t="str">
        <x:v>13. Environmental, Waste-Recovery &amp; Special Material Processing</x:v>
      </x:c>
      <x:c r="B101" s="13" t="str">
        <x:v>C&amp;D Recycling</x:v>
      </x:c>
      <x:c r="C101" s="13" t="str">
        <x:v>Pre-processor / Recycler</x:v>
      </x:c>
      <x:c r="D101" s="13" t="str">
        <x:v>Concrete, bricks, asphalt, masonry</x:v>
      </x:c>
      <x:c r="E101" s="13" t="str">
        <x:v>Recycled aggregate / sand / road material</x:v>
      </x:c>
      <x:c r="F101" s="13" t="str">
        <x:v>Steel, clean wood, recovered aggregate</x:v>
      </x:c>
      <x:c r="G101" s="13" t="str">
        <x:v>Fine dust, mixed C&amp;D rejects</x:v>
      </x:c>
      <x:c r="H101" s="13" t="str">
        <x:v>Mixed residual / contaminated material</x:v>
      </x:c>
      <x:c r="I101" s="13" t="str">
        <x:v>Construction-material user / recycler</x:v>
      </x:c>
      <x:c r="J101" s="13" t="str">
        <x:v>Recycled aggregate / C&amp;D fractions</x:v>
      </x:c>
      <x:c r="K101" s="13" t="str">
        <x:v>Separate concrete, masonry, metal, wood and mixed waste.</x:v>
      </x:c>
    </x:row>
  </x:sheetData>
  <x:mergeCells>
    <x:mergeCell ref="A1:K1"/>
  </x:mergeCells>
  <x:dataValidations count="1">
    <x:dataValidation type="list" sqref="C3:C101">
      <x:formula1>"Collector / Aggregator,Collector / Yard / Aggregator,Dismantler / Pre-processor,Pre-processor,Processor / Recycler,Recycler / Recovery Processor,Processor / Manufacturer,Manufacturer,Recovery Processor,Waste Processor / Bioenergy,High-spec Manufacturer,Utility / Energy Producer,Utility / Processor,Converter / Manufacturer,Authorised handler / Processor"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63ca3e6894e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5" hidden="0" customWidth="1"/>
    <x:col min="4" max="4" width="28" hidden="0" customWidth="1"/>
    <x:col min="5" max="5" width="27" hidden="0" customWidth="1"/>
    <x:col min="6" max="6" width="28" hidden="0" customWidth="1"/>
    <x:col min="7" max="7" width="42" hidden="0" customWidth="1"/>
    <x:col min="8" max="8" width="45" hidden="0" customWidth="1"/>
  </x:cols>
  <x:sheetData>
    <x:row r="1" ht="26" customHeight="1">
      <x:c r="A1" s="5" t="str">
        <x:v>Material Lifecycle — Tradable Material States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22" t="str">
        <x:v>Material Family</x:v>
      </x:c>
      <x:c r="B2" s="22" t="str">
        <x:v>Material / Grade</x:v>
      </x:c>
      <x:c r="C2" s="22" t="str">
        <x:v>State / Transformation</x:v>
      </x:c>
      <x:c r="D2" s="22" t="str">
        <x:v>Typical Route</x:v>
      </x:c>
      <x:c r="E2" s="22" t="str">
        <x:v>What is Sold</x:v>
      </x:c>
      <x:c r="F2" s="22" t="str">
        <x:v>Next User</x:v>
      </x:c>
      <x:c r="G2" s="22" t="str">
        <x:v>Key Trading / QC Attributes</x:v>
      </x:c>
      <x:c r="H2" s="22" t="str">
        <x:v>Platform Product Need</x:v>
      </x:c>
    </x:row>
    <x:row r="3">
      <x:c r="A3" s="13" t="str">
        <x:v>PET</x:v>
      </x:c>
      <x:c r="B3" s="13" t="str">
        <x:v>PET bottles</x:v>
      </x:c>
      <x:c r="C3" s="13" t="str">
        <x:v>Sorted/baled</x:v>
      </x:c>
      <x:c r="D3" s="13" t="str">
        <x:v>Consumer → Yard</x:v>
      </x:c>
      <x:c r="E3" s="13" t="str">
        <x:v>PET bale</x:v>
      </x:c>
      <x:c r="F3" s="13" t="str">
        <x:v>PET flake pre-processor</x:v>
      </x:c>
      <x:c r="G3" s="13" t="str">
        <x:v>Grade, colour, contamination, bale density</x:v>
      </x:c>
      <x:c r="H3" s="13" t="str">
        <x:v>Listing + lot traceability + grade/QC + buyer matching for PET bottles</x:v>
      </x:c>
    </x:row>
    <x:row r="4">
      <x:c r="A4" s="13" t="str">
        <x:v>PET</x:v>
      </x:c>
      <x:c r="B4" s="13" t="str">
        <x:v>Raw PET flakes</x:v>
      </x:c>
      <x:c r="C4" s="13" t="str">
        <x:v>Shredded/ground</x:v>
      </x:c>
      <x:c r="D4" s="13" t="str">
        <x:v>Yard → Flake Processor</x:v>
      </x:c>
      <x:c r="E4" s="13" t="str">
        <x:v>Raw PET flakes</x:v>
      </x:c>
      <x:c r="F4" s="13" t="str">
        <x:v>PET washer</x:v>
      </x:c>
      <x:c r="G4" s="13" t="str">
        <x:v>Polymer purity, colour, fines</x:v>
      </x:c>
      <x:c r="H4" s="13" t="str">
        <x:v>Listing + lot traceability + grade/QC + buyer matching for Raw PET flakes</x:v>
      </x:c>
    </x:row>
    <x:row r="5">
      <x:c r="A5" s="13" t="str">
        <x:v>PET</x:v>
      </x:c>
      <x:c r="B5" s="13" t="str">
        <x:v>Cold-washed PET flakes</x:v>
      </x:c>
      <x:c r="C5" s="13" t="str">
        <x:v>Washed</x:v>
      </x:c>
      <x:c r="D5" s="13" t="str">
        <x:v>Washer → Recycler</x:v>
      </x:c>
      <x:c r="E5" s="13" t="str">
        <x:v>Cold-washed flakes</x:v>
      </x:c>
      <x:c r="F5" s="13" t="str">
        <x:v>rPET granulator</x:v>
      </x:c>
      <x:c r="G5" s="13" t="str">
        <x:v>Moisture, colour, IV/PIV, contamination</x:v>
      </x:c>
      <x:c r="H5" s="13" t="str">
        <x:v>Listing + lot traceability + grade/QC + buyer matching for Cold-washed PET flakes</x:v>
      </x:c>
    </x:row>
    <x:row r="6">
      <x:c r="A6" s="13" t="str">
        <x:v>PET</x:v>
      </x:c>
      <x:c r="B6" s="13" t="str">
        <x:v>Hot-washed PET flakes</x:v>
      </x:c>
      <x:c r="C6" s="13" t="str">
        <x:v>Hot washed</x:v>
      </x:c>
      <x:c r="D6" s="13" t="str">
        <x:v>Washer → Recycler</x:v>
      </x:c>
      <x:c r="E6" s="13" t="str">
        <x:v>Hot-washed flakes</x:v>
      </x:c>
      <x:c r="F6" s="13" t="str">
        <x:v>rPET granulator</x:v>
      </x:c>
      <x:c r="G6" s="13" t="str">
        <x:v>Moisture, colour, cleanliness, IV/PIV</x:v>
      </x:c>
      <x:c r="H6" s="13" t="str">
        <x:v>Listing + lot traceability + grade/QC + buyer matching for Hot-washed PET flakes</x:v>
      </x:c>
    </x:row>
    <x:row r="7">
      <x:c r="A7" s="13" t="str">
        <x:v>PET</x:v>
      </x:c>
      <x:c r="B7" s="13" t="str">
        <x:v>rPET pellets</x:v>
      </x:c>
      <x:c r="C7" s="13" t="str">
        <x:v>Pelletised</x:v>
      </x:c>
      <x:c r="D7" s="13" t="str">
        <x:v>Recycler → Polyester Processor</x:v>
      </x:c>
      <x:c r="E7" s="13" t="str">
        <x:v>rPET granules/pellets</x:v>
      </x:c>
      <x:c r="F7" s="13" t="str">
        <x:v>PSF/PFY manufacturer</x:v>
      </x:c>
      <x:c r="G7" s="13" t="str">
        <x:v>IV/PIV, colour, contamination, application</x:v>
      </x:c>
      <x:c r="H7" s="13" t="str">
        <x:v>Listing + lot traceability + grade/QC + buyer matching for rPET pellets</x:v>
      </x:c>
    </x:row>
    <x:row r="8">
      <x:c r="A8" s="13" t="str">
        <x:v>Polyester</x:v>
      </x:c>
      <x:c r="B8" s="13" t="str">
        <x:v>PSF</x:v>
      </x:c>
      <x:c r="C8" s="13" t="str">
        <x:v>Fiber</x:v>
      </x:c>
      <x:c r="D8" s="13" t="str">
        <x:v>Polyester plant → Textile user</x:v>
      </x:c>
      <x:c r="E8" s="13" t="str">
        <x:v>PSF</x:v>
      </x:c>
      <x:c r="F8" s="13" t="str">
        <x:v>Yarn/nonwoven/textile manufacturer</x:v>
      </x:c>
      <x:c r="G8" s="13" t="str">
        <x:v>Denier, staple length, colour, strength</x:v>
      </x:c>
      <x:c r="H8" s="13" t="str">
        <x:v>Listing + lot traceability + grade/QC + buyer matching for PSF</x:v>
      </x:c>
    </x:row>
    <x:row r="9">
      <x:c r="A9" s="13" t="str">
        <x:v>Paper</x:v>
      </x:c>
      <x:c r="B9" s="13" t="str">
        <x:v>OCC</x:v>
      </x:c>
      <x:c r="C9" s="13" t="str">
        <x:v>Sorted/baled</x:v>
      </x:c>
      <x:c r="D9" s="13" t="str">
        <x:v>Consumer/Yard → Paper mill</x:v>
      </x:c>
      <x:c r="E9" s="13" t="str">
        <x:v>OCC bale</x:v>
      </x:c>
      <x:c r="F9" s="13" t="str">
        <x:v>Pulp/paper mill</x:v>
      </x:c>
      <x:c r="G9" s="13" t="str">
        <x:v>Moisture, prohibitives, bale weight</x:v>
      </x:c>
      <x:c r="H9" s="13" t="str">
        <x:v>Listing + lot traceability + grade/QC + buyer matching for OCC</x:v>
      </x:c>
    </x:row>
    <x:row r="10">
      <x:c r="A10" s="13" t="str">
        <x:v>Paper</x:v>
      </x:c>
      <x:c r="B10" s="13" t="str">
        <x:v>Recovered pulp</x:v>
      </x:c>
      <x:c r="C10" s="13" t="str">
        <x:v>Pulp</x:v>
      </x:c>
      <x:c r="D10" s="13" t="str">
        <x:v>Paper recycler → Paper mill</x:v>
      </x:c>
      <x:c r="E10" s="13" t="str">
        <x:v>Recovered pulp</x:v>
      </x:c>
      <x:c r="F10" s="13" t="str">
        <x:v>Paperboard manufacturer</x:v>
      </x:c>
      <x:c r="G10" s="13" t="str">
        <x:v>Brightness, ash, fibre quality</x:v>
      </x:c>
      <x:c r="H10" s="13" t="str">
        <x:v>Listing + lot traceability + grade/QC + buyer matching for Recovered pulp</x:v>
      </x:c>
    </x:row>
    <x:row r="11">
      <x:c r="A11" s="13" t="str">
        <x:v>Metal</x:v>
      </x:c>
      <x:c r="B11" s="13" t="str">
        <x:v>Copper cable</x:v>
      </x:c>
      <x:c r="C11" s="13" t="str">
        <x:v>Sorted</x:v>
      </x:c>
      <x:c r="D11" s="13" t="str">
        <x:v>ELV/electronics/industrial → cable processor</x:v>
      </x:c>
      <x:c r="E11" s="13" t="str">
        <x:v>Copper-bearing cable</x:v>
      </x:c>
      <x:c r="F11" s="13" t="str">
        <x:v>Stripper/granulator</x:v>
      </x:c>
      <x:c r="G11" s="13" t="str">
        <x:v>Copper %, insulation type</x:v>
      </x:c>
      <x:c r="H11" s="13" t="str">
        <x:v>Listing + lot traceability + grade/QC + buyer matching for Copper cable</x:v>
      </x:c>
    </x:row>
    <x:row r="12">
      <x:c r="A12" s="13" t="str">
        <x:v>Metal</x:v>
      </x:c>
      <x:c r="B12" s="13" t="str">
        <x:v>Stripped copper</x:v>
      </x:c>
      <x:c r="C12" s="13" t="str">
        <x:v>Separated</x:v>
      </x:c>
      <x:c r="D12" s="13" t="str">
        <x:v>Cable processor → Metal recycler</x:v>
      </x:c>
      <x:c r="E12" s="13" t="str">
        <x:v>Copper scrap/granules</x:v>
      </x:c>
      <x:c r="F12" s="13" t="str">
        <x:v>Copper processor</x:v>
      </x:c>
      <x:c r="G12" s="13" t="str">
        <x:v>Purity, size, contamination</x:v>
      </x:c>
      <x:c r="H12" s="13" t="str">
        <x:v>Listing + lot traceability + grade/QC + buyer matching for Stripped copper</x:v>
      </x:c>
    </x:row>
    <x:row r="13">
      <x:c r="A13" s="13" t="str">
        <x:v>Metal</x:v>
      </x:c>
      <x:c r="B13" s="13" t="str">
        <x:v>Aluminium UBC</x:v>
      </x:c>
      <x:c r="C13" s="13" t="str">
        <x:v>Baled</x:v>
      </x:c>
      <x:c r="D13" s="13" t="str">
        <x:v>Consumer/Yard → Aluminium processor</x:v>
      </x:c>
      <x:c r="E13" s="13" t="str">
        <x:v>UBC bale</x:v>
      </x:c>
      <x:c r="F13" s="13" t="str">
        <x:v>Secondary aluminium plant</x:v>
      </x:c>
      <x:c r="G13" s="13" t="str">
        <x:v>Moisture, contamination, alloy mix</x:v>
      </x:c>
      <x:c r="H13" s="13" t="str">
        <x:v>Listing + lot traceability + grade/QC + buyer matching for Aluminium UBC</x:v>
      </x:c>
    </x:row>
    <x:row r="14">
      <x:c r="A14" s="13" t="str">
        <x:v>Metal</x:v>
      </x:c>
      <x:c r="B14" s="13" t="str">
        <x:v>Aluminium dross</x:v>
      </x:c>
      <x:c r="C14" s="13" t="str">
        <x:v>Recovery fraction</x:v>
      </x:c>
      <x:c r="D14" s="13" t="str">
        <x:v>Aluminium processor → dross recovery</x:v>
      </x:c>
      <x:c r="E14" s="13" t="str">
        <x:v>Dross</x:v>
      </x:c>
      <x:c r="F14" s="13" t="str">
        <x:v>Dross recovery unit</x:v>
      </x:c>
      <x:c r="G14" s="13" t="str">
        <x:v>Metal content, salt content</x:v>
      </x:c>
      <x:c r="H14" s="13" t="str">
        <x:v>Listing + lot traceability + grade/QC + buyer matching for Aluminium dross</x:v>
      </x:c>
    </x:row>
    <x:row r="15">
      <x:c r="A15" s="13" t="str">
        <x:v>Glass</x:v>
      </x:c>
      <x:c r="B15" s="13" t="str">
        <x:v>Glass cullet</x:v>
      </x:c>
      <x:c r="C15" s="13" t="str">
        <x:v>Crushed/sorted</x:v>
      </x:c>
      <x:c r="D15" s="13" t="str">
        <x:v>Collection/Yard → Glass recycler</x:v>
      </x:c>
      <x:c r="E15" s="13" t="str">
        <x:v>Cullet</x:v>
      </x:c>
      <x:c r="F15" s="13" t="str">
        <x:v>Glass furnace</x:v>
      </x:c>
      <x:c r="G15" s="13" t="str">
        <x:v>Colour, size, ceramic/metal contamination</x:v>
      </x:c>
      <x:c r="H15" s="13" t="str">
        <x:v>Listing + lot traceability + grade/QC + buyer matching for Glass cullet</x:v>
      </x:c>
    </x:row>
    <x:row r="16">
      <x:c r="A16" s="13" t="str">
        <x:v>Tyre</x:v>
      </x:c>
      <x:c r="B16" s="13" t="str">
        <x:v>ELT tyre</x:v>
      </x:c>
      <x:c r="C16" s="13" t="str">
        <x:v>Collected/baled</x:v>
      </x:c>
      <x:c r="D16" s="13" t="str">
        <x:v>Consumer/garage → tyre processor</x:v>
      </x:c>
      <x:c r="E16" s="13" t="str">
        <x:v>Tyre bale</x:v>
      </x:c>
      <x:c r="F16" s="13" t="str">
        <x:v>Shredder</x:v>
      </x:c>
      <x:c r="G16" s="13" t="str">
        <x:v>Type, steel/fibre content</x:v>
      </x:c>
      <x:c r="H16" s="13" t="str">
        <x:v>Listing + lot traceability + grade/QC + buyer matching for ELT tyre</x:v>
      </x:c>
    </x:row>
    <x:row r="17">
      <x:c r="A17" s="13" t="str">
        <x:v>Tyre</x:v>
      </x:c>
      <x:c r="B17" s="13" t="str">
        <x:v>Tyre chips</x:v>
      </x:c>
      <x:c r="C17" s="13" t="str">
        <x:v>Shredded</x:v>
      </x:c>
      <x:c r="D17" s="13" t="str">
        <x:v>Shredder → processor</x:v>
      </x:c>
      <x:c r="E17" s="13" t="str">
        <x:v>Tyre chips</x:v>
      </x:c>
      <x:c r="F17" s="13" t="str">
        <x:v>Crumb rubber / pyrolysis</x:v>
      </x:c>
      <x:c r="G17" s="13" t="str">
        <x:v>Size, steel/fibre content</x:v>
      </x:c>
      <x:c r="H17" s="13" t="str">
        <x:v>Listing + lot traceability + grade/QC + buyer matching for Tyre chips</x:v>
      </x:c>
    </x:row>
    <x:row r="18">
      <x:c r="A18" s="13" t="str">
        <x:v>Tyre</x:v>
      </x:c>
      <x:c r="B18" s="13" t="str">
        <x:v>Crumb rubber</x:v>
      </x:c>
      <x:c r="C18" s="13" t="str">
        <x:v>Granulated</x:v>
      </x:c>
      <x:c r="D18" s="13" t="str">
        <x:v>Tyre processor → rubber user</x:v>
      </x:c>
      <x:c r="E18" s="13" t="str">
        <x:v>Crumb rubber</x:v>
      </x:c>
      <x:c r="F18" s="13" t="str">
        <x:v>Rubber products</x:v>
      </x:c>
      <x:c r="G18" s="13" t="str">
        <x:v>Mesh size, steel/fibre content</x:v>
      </x:c>
      <x:c r="H18" s="13" t="str">
        <x:v>Listing + lot traceability + grade/QC + buyer matching for Crumb rubber</x:v>
      </x:c>
    </x:row>
    <x:row r="19">
      <x:c r="A19" s="13" t="str">
        <x:v>Wood</x:v>
      </x:c>
      <x:c r="B19" s="13" t="str">
        <x:v>Sawdust</x:v>
      </x:c>
      <x:c r="C19" s="13" t="str">
        <x:v>Loose/baled</x:v>
      </x:c>
      <x:c r="D19" s="13" t="str">
        <x:v>Saw mill → biomass/board user</x:v>
      </x:c>
      <x:c r="E19" s="13" t="str">
        <x:v>Sawdust</x:v>
      </x:c>
      <x:c r="F19" s="13" t="str">
        <x:v>Pellet/board manufacturer</x:v>
      </x:c>
      <x:c r="G19" s="13" t="str">
        <x:v>Moisture, particle size, wood type</x:v>
      </x:c>
      <x:c r="H19" s="13" t="str">
        <x:v>Listing + lot traceability + grade/QC + buyer matching for Sawdust</x:v>
      </x:c>
    </x:row>
    <x:row r="20">
      <x:c r="A20" s="13" t="str">
        <x:v>Wood</x:v>
      </x:c>
      <x:c r="B20" s="13" t="str">
        <x:v>Wood chips</x:v>
      </x:c>
      <x:c r="C20" s="13" t="str">
        <x:v>Chipped</x:v>
      </x:c>
      <x:c r="D20" s="13" t="str">
        <x:v>Saw mill → biomass/board user</x:v>
      </x:c>
      <x:c r="E20" s="13" t="str">
        <x:v>Wood chips</x:v>
      </x:c>
      <x:c r="F20" s="13" t="str">
        <x:v>Board/pellet manufacturer</x:v>
      </x:c>
      <x:c r="G20" s="13" t="str">
        <x:v>Moisture, size, treated vs clean</x:v>
      </x:c>
      <x:c r="H20" s="13" t="str">
        <x:v>Listing + lot traceability + grade/QC + buyer matching for Wood chips</x:v>
      </x:c>
    </x:row>
    <x:row r="21">
      <x:c r="A21" s="13" t="str">
        <x:v>Agro</x:v>
      </x:c>
      <x:c r="B21" s="13" t="str">
        <x:v>Rice husk</x:v>
      </x:c>
      <x:c r="C21" s="13" t="str">
        <x:v>Agro by-product</x:v>
      </x:c>
      <x:c r="D21" s="13" t="str">
        <x:v>Rice mill → biomass user</x:v>
      </x:c>
      <x:c r="E21" s="13" t="str">
        <x:v>Rice husk</x:v>
      </x:c>
      <x:c r="F21" s="13" t="str">
        <x:v>Boiler/pellet/silica processor</x:v>
      </x:c>
      <x:c r="G21" s="13" t="str">
        <x:v>Moisture, ash, contamination</x:v>
      </x:c>
      <x:c r="H21" s="13" t="str">
        <x:v>Listing + lot traceability + grade/QC + buyer matching for Rice husk</x:v>
      </x:c>
    </x:row>
    <x:row r="22">
      <x:c r="A22" s="13" t="str">
        <x:v>Agro</x:v>
      </x:c>
      <x:c r="B22" s="13" t="str">
        <x:v>Rice bran</x:v>
      </x:c>
      <x:c r="C22" s="13" t="str">
        <x:v>Agro by-product</x:v>
      </x:c>
      <x:c r="D22" s="13" t="str">
        <x:v>Rice mill → feed/oil user</x:v>
      </x:c>
      <x:c r="E22" s="13" t="str">
        <x:v>Rice bran</x:v>
      </x:c>
      <x:c r="F22" s="13" t="str">
        <x:v>Feed/oil processor</x:v>
      </x:c>
      <x:c r="G22" s="13" t="str">
        <x:v>Moisture, FFA/stability</x:v>
      </x:c>
      <x:c r="H22" s="13" t="str">
        <x:v>Listing + lot traceability + grade/QC + buyer matching for Rice bran</x:v>
      </x:c>
    </x:row>
    <x:row r="23">
      <x:c r="A23" s="13" t="str">
        <x:v>Sugar</x:v>
      </x:c>
      <x:c r="B23" s="13" t="str">
        <x:v>Bagasse</x:v>
      </x:c>
      <x:c r="C23" s="13" t="str">
        <x:v>Agro by-product</x:v>
      </x:c>
      <x:c r="D23" s="13" t="str">
        <x:v>Sugar mill → paper/energy user</x:v>
      </x:c>
      <x:c r="E23" s="13" t="str">
        <x:v>Bagasse</x:v>
      </x:c>
      <x:c r="F23" s="13" t="str">
        <x:v>Paper/board/boiler/CBG user</x:v>
      </x:c>
      <x:c r="G23" s="13" t="str">
        <x:v>Moisture, fibre, ash</x:v>
      </x:c>
      <x:c r="H23" s="13" t="str">
        <x:v>Listing + lot traceability + grade/QC + buyer matching for Bagasse</x:v>
      </x:c>
    </x:row>
    <x:row r="24">
      <x:c r="A24" s="13" t="str">
        <x:v>Sugar</x:v>
      </x:c>
      <x:c r="B24" s="13" t="str">
        <x:v>Molasses</x:v>
      </x:c>
      <x:c r="C24" s="13" t="str">
        <x:v>Co-product</x:v>
      </x:c>
      <x:c r="D24" s="13" t="str">
        <x:v>Sugar mill → distillery</x:v>
      </x:c>
      <x:c r="E24" s="13" t="str">
        <x:v>Molasses</x:v>
      </x:c>
      <x:c r="F24" s="13" t="str">
        <x:v>Ethanol/CBG/chemical user</x:v>
      </x:c>
      <x:c r="G24" s="13" t="str">
        <x:v>Brix, fermentability, source</x:v>
      </x:c>
      <x:c r="H24" s="13" t="str">
        <x:v>Listing + lot traceability + grade/QC + buyer matching for Molasses</x:v>
      </x:c>
    </x:row>
    <x:row r="25">
      <x:c r="A25" s="13" t="str">
        <x:v>Sugar</x:v>
      </x:c>
      <x:c r="B25" s="13" t="str">
        <x:v>Press mud</x:v>
      </x:c>
      <x:c r="C25" s="13" t="str">
        <x:v>By-product</x:v>
      </x:c>
      <x:c r="D25" s="13" t="str">
        <x:v>Sugar mill → soil/compost user</x:v>
      </x:c>
      <x:c r="E25" s="13" t="str">
        <x:v>Press mud</x:v>
      </x:c>
      <x:c r="F25" s="13" t="str">
        <x:v>Compost/bio-input user</x:v>
      </x:c>
      <x:c r="G25" s="13" t="str">
        <x:v>Moisture, organics</x:v>
      </x:c>
      <x:c r="H25" s="13" t="str">
        <x:v>Listing + lot traceability + grade/QC + buyer matching for Press mud</x:v>
      </x:c>
    </x:row>
    <x:row r="26">
      <x:c r="A26" s="13" t="str">
        <x:v>Food</x:v>
      </x:c>
      <x:c r="B26" s="13" t="str">
        <x:v>Whey</x:v>
      </x:c>
      <x:c r="C26" s="13" t="str">
        <x:v>Food by-product</x:v>
      </x:c>
      <x:c r="D26" s="13" t="str">
        <x:v>Dairy → ingredient/feed user</x:v>
      </x:c>
      <x:c r="E26" s="13" t="str">
        <x:v>Whey</x:v>
      </x:c>
      <x:c r="F26" s="13" t="str">
        <x:v>Protein/food/feed processor</x:v>
      </x:c>
      <x:c r="G26" s="13" t="str">
        <x:v>Protein, solids, microbiological quality</x:v>
      </x:c>
      <x:c r="H26" s="13" t="str">
        <x:v>Listing + lot traceability + grade/QC + buyer matching for Whey</x:v>
      </x:c>
    </x:row>
    <x:row r="27">
      <x:c r="A27" s="13" t="str">
        <x:v>Cashew</x:v>
      </x:c>
      <x:c r="B27" s="13" t="str">
        <x:v>Cashew shell</x:v>
      </x:c>
      <x:c r="C27" s="13" t="str">
        <x:v>Agro by-product</x:v>
      </x:c>
      <x:c r="D27" s="13" t="str">
        <x:v>Cashew processor → CNSL/energy user</x:v>
      </x:c>
      <x:c r="E27" s="13" t="str">
        <x:v>Cashew shell</x:v>
      </x:c>
      <x:c r="F27" s="13" t="str">
        <x:v>CNSL extractor / biomass user</x:v>
      </x:c>
      <x:c r="G27" s="13" t="str">
        <x:v>Moisture, shell quality</x:v>
      </x:c>
      <x:c r="H27" s="13" t="str">
        <x:v>Listing + lot traceability + grade/QC + buyer matching for Cashew shell</x:v>
      </x:c>
    </x:row>
    <x:row r="28">
      <x:c r="A28" s="13" t="str">
        <x:v>Cashew</x:v>
      </x:c>
      <x:c r="B28" s="13" t="str">
        <x:v>CNSL</x:v>
      </x:c>
      <x:c r="C28" s="13" t="str">
        <x:v>Recovered/process product</x:v>
      </x:c>
      <x:c r="D28" s="13" t="str">
        <x:v>Shell processor → chemical user</x:v>
      </x:c>
      <x:c r="E28" s="13" t="str">
        <x:v>CNSL</x:v>
      </x:c>
      <x:c r="F28" s="13" t="str">
        <x:v>Cardanol/chemical processor</x:v>
      </x:c>
      <x:c r="G28" s="13" t="str">
        <x:v>Acid value, viscosity, moisture</x:v>
      </x:c>
      <x:c r="H28" s="13" t="str">
        <x:v>Listing + lot traceability + grade/QC + buyer matching for CNSL</x:v>
      </x:c>
    </x:row>
    <x:row r="29">
      <x:c r="A29" s="13" t="str">
        <x:v>Textile</x:v>
      </x:c>
      <x:c r="B29" s="13" t="str">
        <x:v>Cotton fibre waste</x:v>
      </x:c>
      <x:c r="C29" s="13" t="str">
        <x:v>Textile scrap</x:v>
      </x:c>
      <x:c r="D29" s="13" t="str">
        <x:v>Spinning/weaving → fibre recycler</x:v>
      </x:c>
      <x:c r="E29" s="13" t="str">
        <x:v>Cotton waste</x:v>
      </x:c>
      <x:c r="F29" s="13" t="str">
        <x:v>Open-end spinning/nonwoven user</x:v>
      </x:c>
      <x:c r="G29" s="13" t="str">
        <x:v>Fibre length, blend, contamination</x:v>
      </x:c>
      <x:c r="H29" s="13" t="str">
        <x:v>Listing + lot traceability + grade/QC + buyer matching for Cotton fibre waste</x:v>
      </x:c>
    </x:row>
    <x:row r="30">
      <x:c r="A30" s="13" t="str">
        <x:v>Textile</x:v>
      </x:c>
      <x:c r="B30" s="13" t="str">
        <x:v>Mixed textile waste</x:v>
      </x:c>
      <x:c r="C30" s="13" t="str">
        <x:v>Sorted/reprocessed</x:v>
      </x:c>
      <x:c r="D30" s="13" t="str">
        <x:v>Garment → textile recycler</x:v>
      </x:c>
      <x:c r="E30" s="13" t="str">
        <x:v>Textile scrap</x:v>
      </x:c>
      <x:c r="F30" s="13" t="str">
        <x:v>Fibre recovery/nonwoven</x:v>
      </x:c>
      <x:c r="G30" s="13" t="str">
        <x:v>Composition, colour, blend ratio</x:v>
      </x:c>
      <x:c r="H30" s="13" t="str">
        <x:v>Listing + lot traceability + grade/QC + buyer matching for Mixed textile waste</x:v>
      </x:c>
    </x:row>
    <x:row r="31">
      <x:c r="A31" s="13" t="str">
        <x:v>C&amp;D</x:v>
      </x:c>
      <x:c r="B31" s="13" t="str">
        <x:v>Concrete rubble</x:v>
      </x:c>
      <x:c r="C31" s="13" t="str">
        <x:v>Sorted/crushed</x:v>
      </x:c>
      <x:c r="D31" s="13" t="str">
        <x:v>Demolition → C&amp;D recycler</x:v>
      </x:c>
      <x:c r="E31" s="13" t="str">
        <x:v>Recycled aggregate feed</x:v>
      </x:c>
      <x:c r="F31" s="13" t="str">
        <x:v>Aggregate processor</x:v>
      </x:c>
      <x:c r="G31" s="13" t="str">
        <x:v>Size, brick content, contamination</x:v>
      </x:c>
      <x:c r="H31" s="13" t="str">
        <x:v>Listing + lot traceability + grade/QC + buyer matching for Concrete rubble</x:v>
      </x:c>
    </x:row>
    <x:row r="32">
      <x:c r="A32" s="13" t="str">
        <x:v>C&amp;D</x:v>
      </x:c>
      <x:c r="B32" s="13" t="str">
        <x:v>Recycled aggregate</x:v>
      </x:c>
      <x:c r="C32" s="13" t="str">
        <x:v>Crushed/screened</x:v>
      </x:c>
      <x:c r="D32" s="13" t="str">
        <x:v>C&amp;D recycler → construction user</x:v>
      </x:c>
      <x:c r="E32" s="13" t="str">
        <x:v>Recycled aggregate</x:v>
      </x:c>
      <x:c r="F32" s="13" t="str">
        <x:v>Concrete/road user</x:v>
      </x:c>
      <x:c r="G32" s="13" t="str">
        <x:v>Gradation, strength, fines</x:v>
      </x:c>
      <x:c r="H32" s="13" t="str">
        <x:v>Listing + lot traceability + grade/QC + buyer matching for Recycled aggregate</x:v>
      </x:c>
    </x:row>
    <x:row r="33">
      <x:c r="A33" s="13" t="str">
        <x:v>E-waste</x:v>
      </x:c>
      <x:c r="B33" s="13" t="str">
        <x:v>PCB scrap</x:v>
      </x:c>
      <x:c r="C33" s="13" t="str">
        <x:v>Dismantled</x:v>
      </x:c>
      <x:c r="D33" s="13" t="str">
        <x:v>E-waste dismantler → refiner</x:v>
      </x:c>
      <x:c r="E33" s="13" t="str">
        <x:v>PCB fraction</x:v>
      </x:c>
      <x:c r="F33" s="13" t="str">
        <x:v>Metal recovery/refiner</x:v>
      </x:c>
      <x:c r="G33" s="13" t="str">
        <x:v>Cu/precious metal profile</x:v>
      </x:c>
      <x:c r="H33" s="13" t="str">
        <x:v>Listing + lot traceability + grade/QC + buyer matching for PCB scrap</x:v>
      </x:c>
    </x:row>
    <x:row r="34">
      <x:c r="A34" s="13" t="str">
        <x:v>Battery</x:v>
      </x:c>
      <x:c r="B34" s="13" t="str">
        <x:v>Black mass</x:v>
      </x:c>
      <x:c r="C34" s="13" t="str">
        <x:v>Processed</x:v>
      </x:c>
      <x:c r="D34" s="13" t="str">
        <x:v>Battery recycler → refiner</x:v>
      </x:c>
      <x:c r="E34" s="13" t="str">
        <x:v>Black mass</x:v>
      </x:c>
      <x:c r="F34" s="13" t="str">
        <x:v>Hydrometallurgical refiner</x:v>
      </x:c>
      <x:c r="G34" s="13" t="str">
        <x:v>Chemistry, Ni/Co/Li/Mn content</x:v>
      </x:c>
      <x:c r="H34" s="13" t="str">
        <x:v>Listing + lot traceability + grade/QC + buyer matching for Black mass</x:v>
      </x:c>
    </x:row>
    <x:row r="35">
      <x:c r="A35" s="13" t="str">
        <x:v>Battery</x:v>
      </x:c>
      <x:c r="B35" s="13" t="str">
        <x:v>Lead alloy</x:v>
      </x:c>
      <x:c r="C35" s="13" t="str">
        <x:v>Recovered metal</x:v>
      </x:c>
      <x:c r="D35" s="13" t="str">
        <x:v>Battery recycler → battery/metal user</x:v>
      </x:c>
      <x:c r="E35" s="13" t="str">
        <x:v>Secondary lead alloy</x:v>
      </x:c>
      <x:c r="F35" s="13" t="str">
        <x:v>Battery manufacturer</x:v>
      </x:c>
      <x:c r="G35" s="13" t="str">
        <x:v>Purity, alloy specification</x:v>
      </x:c>
      <x:c r="H35" s="13" t="str">
        <x:v>Listing + lot traceability + grade/QC + buyer matching for Lead alloy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9671a71824e45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42" hidden="0" customWidth="1"/>
    <x:col min="5" max="5" width="42" hidden="0" customWidth="1"/>
  </x:cols>
  <x:sheetData>
    <x:row r="1" ht="26" customHeight="1">
      <x:c r="A1" s="5" t="str">
        <x:v>By-Product Marketplace — Turn Secondary Streams Into Separate Tradeable Materials</x:v>
      </x:c>
      <x:c r="B1" s="5"/>
      <x:c r="C1" s="5"/>
      <x:c r="D1" s="5"/>
      <x:c r="E1" s="5"/>
    </x:row>
    <x:row r="2" ht="32" customHeight="1">
      <x:c r="A2" s="44" t="str">
        <x:v>Material / By-product</x:v>
      </x:c>
      <x:c r="B2" s="44" t="str">
        <x:v>Generated By</x:v>
      </x:c>
      <x:c r="C2" s="44" t="str">
        <x:v>Commercial Status</x:v>
      </x:c>
      <x:c r="D2" s="44" t="str">
        <x:v>Potential Next Use / Buyer</x:v>
      </x:c>
      <x:c r="E2" s="44" t="str">
        <x:v>Required QC / Matching Attribute</x:v>
      </x:c>
    </x:row>
    <x:row r="3">
      <x:c r="A3" s="13" t="str">
        <x:v>Bagasse</x:v>
      </x:c>
      <x:c r="B3" s="13" t="str">
        <x:v>Sugar mill</x:v>
      </x:c>
      <x:c r="C3" s="13" t="str">
        <x:v>Saleable co-product / by-product</x:v>
      </x:c>
      <x:c r="D3" s="13" t="str">
        <x:v>Paper/board, biomass fuel, CBG</x:v>
      </x:c>
      <x:c r="E3" s="13" t="str">
        <x:v>Buyer specification, moisture</x:v>
      </x:c>
    </x:row>
    <x:row r="4">
      <x:c r="A4" s="13" t="str">
        <x:v>Molasses</x:v>
      </x:c>
      <x:c r="B4" s="13" t="str">
        <x:v>Sugar mill</x:v>
      </x:c>
      <x:c r="C4" s="13" t="str">
        <x:v>Saleable co-product</x:v>
      </x:c>
      <x:c r="D4" s="13" t="str">
        <x:v>Distillery, ethanol, CBG, chemicals</x:v>
      </x:c>
      <x:c r="E4" s="13" t="str">
        <x:v>Brix, fermentability</x:v>
      </x:c>
    </x:row>
    <x:row r="5">
      <x:c r="A5" s="13" t="str">
        <x:v>Press mud</x:v>
      </x:c>
      <x:c r="B5" s="13" t="str">
        <x:v>Sugar mill</x:v>
      </x:c>
      <x:c r="C5" s="13" t="str">
        <x:v>Saleable by-product</x:v>
      </x:c>
      <x:c r="D5" s="13" t="str">
        <x:v>Compost/bio-input</x:v>
      </x:c>
      <x:c r="E5" s="13" t="str">
        <x:v>Moisture, organic content</x:v>
      </x:c>
    </x:row>
    <x:row r="6">
      <x:c r="A6" s="13" t="str">
        <x:v>Rice husk</x:v>
      </x:c>
      <x:c r="B6" s="13" t="str">
        <x:v>Rice mill</x:v>
      </x:c>
      <x:c r="C6" s="13" t="str">
        <x:v>Saleable by-product</x:v>
      </x:c>
      <x:c r="D6" s="13" t="str">
        <x:v>Biomass fuel, silica processing, boards</x:v>
      </x:c>
      <x:c r="E6" s="13" t="str">
        <x:v>Moisture, ash</x:v>
      </x:c>
    </x:row>
    <x:row r="7">
      <x:c r="A7" s="13" t="str">
        <x:v>Rice bran</x:v>
      </x:c>
      <x:c r="B7" s="13" t="str">
        <x:v>Rice mill</x:v>
      </x:c>
      <x:c r="C7" s="13" t="str">
        <x:v>Saleable by-product</x:v>
      </x:c>
      <x:c r="D7" s="13" t="str">
        <x:v>Feed, oil extraction</x:v>
      </x:c>
      <x:c r="E7" s="13" t="str">
        <x:v>FFA, moisture</x:v>
      </x:c>
    </x:row>
    <x:row r="8">
      <x:c r="A8" s="13" t="str">
        <x:v>Coffee husk/pulp</x:v>
      </x:c>
      <x:c r="B8" s="13" t="str">
        <x:v>Coffee processor</x:v>
      </x:c>
      <x:c r="C8" s="13" t="str">
        <x:v>Saleable by-product</x:v>
      </x:c>
      <x:c r="D8" s="13" t="str">
        <x:v>Compost, biomass, ingredient routes</x:v>
      </x:c>
      <x:c r="E8" s="13" t="str">
        <x:v>Moisture, contamination</x:v>
      </x:c>
    </x:row>
    <x:row r="9">
      <x:c r="A9" s="13" t="str">
        <x:v>Cashew shell</x:v>
      </x:c>
      <x:c r="B9" s="13" t="str">
        <x:v>Cashew processor</x:v>
      </x:c>
      <x:c r="C9" s="13" t="str">
        <x:v>Saleable by-product</x:v>
      </x:c>
      <x:c r="D9" s="13" t="str">
        <x:v>CNSL extraction, biomass</x:v>
      </x:c>
      <x:c r="E9" s="13" t="str">
        <x:v>Moisture, shell quality</x:v>
      </x:c>
    </x:row>
    <x:row r="10">
      <x:c r="A10" s="13" t="str">
        <x:v>CNSL</x:v>
      </x:c>
      <x:c r="B10" s="13" t="str">
        <x:v>Cashew shell processor</x:v>
      </x:c>
      <x:c r="C10" s="13" t="str">
        <x:v>Recovered product</x:v>
      </x:c>
      <x:c r="D10" s="13" t="str">
        <x:v>Cardanol, resins, coatings, specialty chemicals</x:v>
      </x:c>
      <x:c r="E10" s="13" t="str">
        <x:v>Acid value, viscosity, moisture</x:v>
      </x:c>
    </x:row>
    <x:row r="11">
      <x:c r="A11" s="13" t="str">
        <x:v>Whey</x:v>
      </x:c>
      <x:c r="B11" s="13" t="str">
        <x:v>Dairy</x:v>
      </x:c>
      <x:c r="C11" s="13" t="str">
        <x:v>Saleable co-product</x:v>
      </x:c>
      <x:c r="D11" s="13" t="str">
        <x:v>Food/feed/ingredient processing</x:v>
      </x:c>
      <x:c r="E11" s="13" t="str">
        <x:v>Protein, solids, quality</x:v>
      </x:c>
    </x:row>
    <x:row r="12">
      <x:c r="A12" s="13" t="str">
        <x:v>Fish offal</x:v>
      </x:c>
      <x:c r="B12" s="13" t="str">
        <x:v>Fish processor</x:v>
      </x:c>
      <x:c r="C12" s="13" t="str">
        <x:v>Saleable by-product where authorised</x:v>
      </x:c>
      <x:c r="D12" s="13" t="str">
        <x:v>Fishmeal/rendering/biological processing</x:v>
      </x:c>
      <x:c r="E12" s="13" t="str">
        <x:v>Freshness, moisture</x:v>
      </x:c>
    </x:row>
    <x:row r="13">
      <x:c r="A13" s="13" t="str">
        <x:v>Hides/skins</x:v>
      </x:c>
      <x:c r="B13" s="13" t="str">
        <x:v>Slaughterhouse</x:v>
      </x:c>
      <x:c r="C13" s="13" t="str">
        <x:v>Saleable by-product</x:v>
      </x:c>
      <x:c r="D13" s="13" t="str">
        <x:v>Leather industry</x:v>
      </x:c>
      <x:c r="E13" s="13" t="str">
        <x:v>Quality, preservation</x:v>
      </x:c>
    </x:row>
    <x:row r="14">
      <x:c r="A14" s="13" t="str">
        <x:v>Bones</x:v>
      </x:c>
      <x:c r="B14" s="13" t="str">
        <x:v>Slaughterhouse</x:v>
      </x:c>
      <x:c r="C14" s="13" t="str">
        <x:v>Saleable by-product</x:v>
      </x:c>
      <x:c r="D14" s="13" t="str">
        <x:v>Bone meal/gelatin/other authorised processing</x:v>
      </x:c>
      <x:c r="E14" s="13" t="str">
        <x:v>Cleanliness, moisture</x:v>
      </x:c>
    </x:row>
    <x:row r="15">
      <x:c r="A15" s="13" t="str">
        <x:v>Fly ash</x:v>
      </x:c>
      <x:c r="B15" s="13" t="str">
        <x:v>Thermal power</x:v>
      </x:c>
      <x:c r="C15" s="13" t="str">
        <x:v>Saleable/regulated by-product depending on application</x:v>
      </x:c>
      <x:c r="D15" s="13" t="str">
        <x:v>Cement, blocks, construction materials</x:v>
      </x:c>
      <x:c r="E15" s="13" t="str">
        <x:v>Source, fineness, LOI/quality</x:v>
      </x:c>
    </x:row>
    <x:row r="16">
      <x:c r="A16" s="13" t="str">
        <x:v>Bottom ash</x:v>
      </x:c>
      <x:c r="B16" s="13" t="str">
        <x:v>Thermal power</x:v>
      </x:c>
      <x:c r="C16" s="13" t="str">
        <x:v>Recoverable mineral stream</x:v>
      </x:c>
      <x:c r="D16" s="13" t="str">
        <x:v>Aggregate/construction where accepted</x:v>
      </x:c>
      <x:c r="E16" s="13" t="str">
        <x:v>Gradation, contamination</x:v>
      </x:c>
    </x:row>
    <x:row r="17">
      <x:c r="A17" s="13" t="str">
        <x:v>Slag</x:v>
      </x:c>
      <x:c r="B17" s="13" t="str">
        <x:v>Steel/non-ferrous industry</x:v>
      </x:c>
      <x:c r="C17" s="13" t="str">
        <x:v>Recoverable by-product where accepted</x:v>
      </x:c>
      <x:c r="D17" s="13" t="str">
        <x:v>Aggregate/cement/metal recovery</x:v>
      </x:c>
      <x:c r="E17" s="13" t="str">
        <x:v>Chemistry, free metal</x:v>
      </x:c>
    </x:row>
    <x:row r="18">
      <x:c r="A18" s="13" t="str">
        <x:v>Mill scale</x:v>
      </x:c>
      <x:c r="B18" s="13" t="str">
        <x:v>Steel mill</x:v>
      </x:c>
      <x:c r="C18" s="13" t="str">
        <x:v>Saleable iron-bearing secondary material</x:v>
      </x:c>
      <x:c r="D18" s="13" t="str">
        <x:v>Sinter/steel processing where accepted</x:v>
      </x:c>
      <x:c r="E18" s="13" t="str">
        <x:v>Iron %, oil contamination</x:v>
      </x:c>
    </x:row>
    <x:row r="19">
      <x:c r="A19" s="13" t="str">
        <x:v>Foundry sand</x:v>
      </x:c>
      <x:c r="B19" s="13" t="str">
        <x:v>Foundry</x:v>
      </x:c>
      <x:c r="C19" s="13" t="str">
        <x:v>Potential recoverable by-product</x:v>
      </x:c>
      <x:c r="D19" s="13" t="str">
        <x:v>Construction/material reuse where approved</x:v>
      </x:c>
      <x:c r="E19" s="13" t="str">
        <x:v>Grain size, binder/contamination</x:v>
      </x:c>
    </x:row>
    <x:row r="20">
      <x:c r="A20" s="13" t="str">
        <x:v>Metal dross</x:v>
      </x:c>
      <x:c r="B20" s="13" t="str">
        <x:v>Non-ferrous processor</x:v>
      </x:c>
      <x:c r="C20" s="13" t="str">
        <x:v>Recovery feedstock</x:v>
      </x:c>
      <x:c r="D20" s="13" t="str">
        <x:v>Dross recovery</x:v>
      </x:c>
      <x:c r="E20" s="13" t="str">
        <x:v>Metal %, salt/oxide content</x:v>
      </x:c>
    </x:row>
    <x:row r="21">
      <x:c r="A21" s="13" t="str">
        <x:v>PET labels</x:v>
      </x:c>
      <x:c r="B21" s="13" t="str">
        <x:v>PET flake plant</x:v>
      </x:c>
      <x:c r="C21" s="13" t="str">
        <x:v>Recoverable secondary material</x:v>
      </x:c>
      <x:c r="D21" s="13" t="str">
        <x:v>Polyolefin/label recovery routes</x:v>
      </x:c>
      <x:c r="E21" s="13" t="str">
        <x:v>Polymer type, contamination</x:v>
      </x:c>
    </x:row>
    <x:row r="22">
      <x:c r="A22" s="13" t="str">
        <x:v>PET caps</x:v>
      </x:c>
      <x:c r="B22" s="13" t="str">
        <x:v>PET flake plant</x:v>
      </x:c>
      <x:c r="C22" s="13" t="str">
        <x:v>Saleable secondary material</x:v>
      </x:c>
      <x:c r="D22" s="13" t="str">
        <x:v>PP/HDPE recycling</x:v>
      </x:c>
      <x:c r="E22" s="13" t="str">
        <x:v>Polymer type, colour</x:v>
      </x:c>
    </x:row>
    <x:row r="23">
      <x:c r="A23" s="13" t="str">
        <x:v>Plastic fines</x:v>
      </x:c>
      <x:c r="B23" s="13" t="str">
        <x:v>Plastic processor</x:v>
      </x:c>
      <x:c r="C23" s="13" t="str">
        <x:v>Recoverable fraction</x:v>
      </x:c>
      <x:c r="D23" s="13" t="str">
        <x:v>Compounding/controlled reprocessing</x:v>
      </x:c>
      <x:c r="E23" s="13" t="str">
        <x:v>Polymer purity, size</x:v>
      </x:c>
    </x:row>
    <x:row r="24">
      <x:c r="A24" s="13" t="str">
        <x:v>Paper trim</x:v>
      </x:c>
      <x:c r="B24" s="13" t="str">
        <x:v>Paper converter</x:v>
      </x:c>
      <x:c r="C24" s="13" t="str">
        <x:v>Clean secondary raw material</x:v>
      </x:c>
      <x:c r="D24" s="13" t="str">
        <x:v>Paper mill/recycler</x:v>
      </x:c>
      <x:c r="E24" s="13" t="str">
        <x:v>Moisture, grade</x:v>
      </x:c>
    </x:row>
    <x:row r="25">
      <x:c r="A25" s="13" t="str">
        <x:v>Pulp sludge</x:v>
      </x:c>
      <x:c r="B25" s="13" t="str">
        <x:v>Paper mill</x:v>
      </x:c>
      <x:c r="C25" s="13" t="str">
        <x:v>Residual / possible approved reuse</x:v>
      </x:c>
      <x:c r="D25" s="13" t="str">
        <x:v>Board, cement/co-processing where accepted</x:v>
      </x:c>
      <x:c r="E25" s="13" t="str">
        <x:v>Moisture, ash, contamination</x:v>
      </x:c>
    </x:row>
    <x:row r="26">
      <x:c r="A26" s="13" t="str">
        <x:v>Textile cutting waste</x:v>
      </x:c>
      <x:c r="B26" s="13" t="str">
        <x:v>Garment factory</x:v>
      </x:c>
      <x:c r="C26" s="13" t="str">
        <x:v>Saleable secondary material</x:v>
      </x:c>
      <x:c r="D26" s="13" t="str">
        <x:v>Textile recycling/nonwoven</x:v>
      </x:c>
      <x:c r="E26" s="13" t="str">
        <x:v>Fibre composition, colour</x:v>
      </x:c>
    </x:row>
    <x:row r="27">
      <x:c r="A27" s="13" t="str">
        <x:v>Wood sawdust</x:v>
      </x:c>
      <x:c r="B27" s="13" t="str">
        <x:v>Sawmill</x:v>
      </x:c>
      <x:c r="C27" s="13" t="str">
        <x:v>Saleable by-product</x:v>
      </x:c>
      <x:c r="D27" s="13" t="str">
        <x:v>Pellet/board/briquette</x:v>
      </x:c>
      <x:c r="E27" s="13" t="str">
        <x:v>Moisture, wood type</x:v>
      </x:c>
    </x:row>
    <x:row r="28">
      <x:c r="A28" s="13" t="str">
        <x:v>Tyre steel</x:v>
      </x:c>
      <x:c r="B28" s="13" t="str">
        <x:v>Tyre recycler</x:v>
      </x:c>
      <x:c r="C28" s="13" t="str">
        <x:v>Saleable recovered material</x:v>
      </x:c>
      <x:c r="D28" s="13" t="str">
        <x:v>Steel recycler</x:v>
      </x:c>
      <x:c r="E28" s="13" t="str">
        <x:v>Steel purity, rubber contamination</x:v>
      </x:c>
    </x:row>
    <x:row r="29">
      <x:c r="A29" s="13" t="str">
        <x:v>Crumb rubber</x:v>
      </x:c>
      <x:c r="B29" s="13" t="str">
        <x:v>Tyre recycler</x:v>
      </x:c>
      <x:c r="C29" s="13" t="str">
        <x:v>Saleable recycled material</x:v>
      </x:c>
      <x:c r="D29" s="13" t="str">
        <x:v>Rubber goods</x:v>
      </x:c>
      <x:c r="E29" s="13" t="str">
        <x:v>Mesh size, fibre/steel content</x:v>
      </x:c>
    </x:row>
    <x:row r="30">
      <x:c r="A30" s="13" t="str">
        <x:v>C&amp;D concrete</x:v>
      </x:c>
      <x:c r="B30" s="13" t="str">
        <x:v>Demolition</x:v>
      </x:c>
      <x:c r="C30" s="13" t="str">
        <x:v>Recoverable material</x:v>
      </x:c>
      <x:c r="D30" s="13" t="str">
        <x:v>C&amp;D recycling</x:v>
      </x:c>
      <x:c r="E30" s="13" t="str">
        <x:v>Contamination, size</x:v>
      </x:c>
    </x:row>
    <x:row r="31">
      <x:c r="A31" s="13" t="str">
        <x:v>Glass cullet</x:v>
      </x:c>
      <x:c r="B31" s="13" t="str">
        <x:v>Glass processor</x:v>
      </x:c>
      <x:c r="C31" s="13" t="str">
        <x:v>Saleable recycled material</x:v>
      </x:c>
      <x:c r="D31" s="13" t="str">
        <x:v>Glass furnace</x:v>
      </x:c>
      <x:c r="E31" s="13" t="str">
        <x:v>Colour, ceramic/metal contamination</x:v>
      </x:c>
    </x:row>
    <x:row r="32">
      <x:c r="A32" s="13" t="str">
        <x:v>E-waste copper</x:v>
      </x:c>
      <x:c r="B32" s="13" t="str">
        <x:v>E-waste recycler</x:v>
      </x:c>
      <x:c r="C32" s="13" t="str">
        <x:v>Saleable recovered metal</x:v>
      </x:c>
      <x:c r="D32" s="13" t="str">
        <x:v>Copper processor</x:v>
      </x:c>
      <x:c r="E32" s="13" t="str">
        <x:v>Purity, source</x:v>
      </x:c>
    </x:row>
  </x:sheetData>
  <x:mergeCells>
    <x:mergeCell ref="A1:E1"/>
  </x:mergeCells>
  <x:conditionalFormatting sqref="C3:C32">
    <x:cfRule type="expression" dxfId="0" priority="1">
      <x:formula>ISNUMBER(SEARCH("Saleable",C3))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f43e55c3a746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52" hidden="0" customWidth="1"/>
    <x:col min="4" max="4" width="46" hidden="0" customWidth="1"/>
    <x:col min="5" max="5" width="38" hidden="0" customWidth="1"/>
    <x:col min="6" max="6" width="18" hidden="0" customWidth="1"/>
  </x:cols>
  <x:sheetData>
    <x:row r="1" ht="26" customHeight="1">
      <x:c r="A1" s="5" t="str">
        <x:v>Luma.Green — Platform Design Analysis &amp; Product Strategy</x:v>
      </x:c>
      <x:c r="B1" s="5"/>
      <x:c r="C1" s="5"/>
      <x:c r="D1" s="5"/>
      <x:c r="E1" s="5"/>
      <x:c r="F1" s="5"/>
    </x:row>
    <x:row r="2" ht="32" customHeight="1">
      <x:c r="A2" s="22" t="str">
        <x:v>Priority</x:v>
      </x:c>
      <x:c r="B2" s="22" t="str">
        <x:v>Platform problem</x:v>
      </x:c>
      <x:c r="C2" s="22" t="str">
        <x:v>Recommended product capability</x:v>
      </x:c>
      <x:c r="D2" s="22" t="str">
        <x:v>Why it matters</x:v>
      </x:c>
      <x:c r="E2" s="22" t="str">
        <x:v>Core data objects</x:v>
      </x:c>
      <x:c r="F2" s="22" t="str">
        <x:v>Build phase</x:v>
      </x:c>
    </x:row>
    <x:row r="3">
      <x:c r="A3" s="13" t="str">
        <x:v>1</x:v>
      </x:c>
      <x:c r="B3" s="13" t="str">
        <x:v>Material chain stops too early at 'recycler'.</x:v>
      </x:c>
      <x:c r="C3" s="13" t="str">
        <x:v>Create explicit user types for pre-processor, washer, granulator, stripper, shredder, compounder, recovery processor and manufacturer.</x:v>
      </x:c>
      <x:c r="D3" s="13" t="str">
        <x:v>Manufacturers buy specific intermediate grades, not generic 'waste'.</x:v>
      </x:c>
      <x:c r="E3" s="13" t="str">
        <x:v>User, facility, process, material grade, lot</x:v>
      </x:c>
      <x:c r="F3" s="13" t="str">
        <x:v>MVP</x:v>
      </x:c>
    </x:row>
    <x:row r="4">
      <x:c r="A4" s="13" t="str">
        <x:v>2</x:v>
      </x:c>
      <x:c r="B4" s="13" t="str">
        <x:v>One physical material changes identity after every process.</x:v>
      </x:c>
      <x:c r="C4" s="13" t="str">
        <x:v>Create a Material State graph: discarded → sorted → baled → processed → washed → flaked → pelletised → compounded → finished product.</x:v>
      </x:c>
      <x:c r="D4" s="13" t="str">
        <x:v>Makes circular value visible and traceable.</x:v>
      </x:c>
      <x:c r="E4" s="13" t="str">
        <x:v>Material, state, transformation, output lot</x:v>
      </x:c>
      <x:c r="F4" s="13" t="str">
        <x:v>MVP</x:v>
      </x:c>
    </x:row>
    <x:row r="5">
      <x:c r="A5" s="13" t="str">
        <x:v>3</x:v>
      </x:c>
      <x:c r="B5" s="13" t="str">
        <x:v>By-products are mixed with waste.</x:v>
      </x:c>
      <x:c r="C5" s="13" t="str">
        <x:v>Separate Main Product, Saleable By-product, Recoverable Waste and Residual Waste.</x:v>
      </x:c>
      <x:c r="D5" s="13" t="str">
        <x:v>Allows secondary streams to become new listings and revenue.</x:v>
      </x:c>
      <x:c r="E5" s="13" t="str">
        <x:v>Output stream, classification, downstream use</x:v>
      </x:c>
      <x:c r="F5" s="13" t="str">
        <x:v>MVP</x:v>
      </x:c>
    </x:row>
    <x:row r="6">
      <x:c r="A6" s="13" t="str">
        <x:v>4</x:v>
      </x:c>
      <x:c r="B6" s="13" t="str">
        <x:v>Price is material-grade dependent.</x:v>
      </x:c>
      <x:c r="C6" s="13" t="str">
        <x:v>Quote by grade + specification + geography + quantity, not only by broad material name.</x:v>
      </x:c>
      <x:c r="D6" s="13" t="str">
        <x:v>Reduces price mismatch and failed trades.</x:v>
      </x:c>
      <x:c r="E6" s="13" t="str">
        <x:v>Material code, grade, QC, price, quantity</x:v>
      </x:c>
      <x:c r="F6" s="13" t="str">
        <x:v>MVP</x:v>
      </x:c>
    </x:row>
    <x:row r="7">
      <x:c r="A7" s="13" t="str">
        <x:v>5</x:v>
      </x:c>
      <x:c r="B7" s="13" t="str">
        <x:v>Small yards lack reliable B2B demand.</x:v>
      </x:c>
      <x:c r="C7" s="13" t="str">
        <x:v>Buyer request board + standing purchase orders + recurring demand.</x:v>
      </x:c>
      <x:c r="D7" s="13" t="str">
        <x:v>Improves yard working capital and reduces inventory days.</x:v>
      </x:c>
      <x:c r="E7" s="13" t="str">
        <x:v>Buyer profile, demand lot, preferred specs</x:v>
      </x:c>
      <x:c r="F7" s="13" t="str">
        <x:v>Phase 2</x:v>
      </x:c>
    </x:row>
    <x:row r="8">
      <x:c r="A8" s="13" t="str">
        <x:v>6</x:v>
      </x:c>
      <x:c r="B8" s="13" t="str">
        <x:v>Manufacturers need predictable feedstock.</x:v>
      </x:c>
      <x:c r="C8" s="13" t="str">
        <x:v>Supplier qualification + samples + QC records + acceptance history.</x:v>
      </x:c>
      <x:c r="D8" s="13" t="str">
        <x:v>Moves platform from scrap marketplace to industrial feedstock marketplace.</x:v>
      </x:c>
      <x:c r="E8" s="13" t="str">
        <x:v>Supplier, batch, COA/QC, acceptance</x:v>
      </x:c>
      <x:c r="F8" s="13" t="str">
        <x:v>Phase 2</x:v>
      </x:c>
    </x:row>
    <x:row r="9">
      <x:c r="A9" s="13" t="str">
        <x:v>7</x:v>
      </x:c>
      <x:c r="B9" s="13" t="str">
        <x:v>Compliance is fragmented.</x:v>
      </x:c>
      <x:c r="C9" s="13" t="str">
        <x:v>Onboarding should verify registrations/consents relevant to the material and process; show expiry and status.</x:v>
      </x:c>
      <x:c r="D9" s="13" t="str">
        <x:v>High-risk materials need controlled counterparties.</x:v>
      </x:c>
      <x:c r="E9" s="13" t="str">
        <x:v>Registration, consent, EPR/authorisation, expiry</x:v>
      </x:c>
      <x:c r="F9" s="13" t="str">
        <x:v>MVP/Phase 2</x:v>
      </x:c>
    </x:row>
    <x:row r="10">
      <x:c r="A10" s="13" t="str">
        <x:v>8</x:v>
      </x:c>
      <x:c r="B10" s="13" t="str">
        <x:v>Traceability is weak across multiple hand-offs.</x:v>
      </x:c>
      <x:c r="C10" s="13" t="str">
        <x:v>Every hand-off creates immutable transaction event with weight, price, timestamp, origin and destination.</x:v>
      </x:c>
      <x:c r="D10" s="13" t="str">
        <x:v>Supports audit, EPR and dispute resolution.</x:v>
      </x:c>
      <x:c r="E10" s="13" t="str">
        <x:v>Lot, transaction, weighment, invoice, logistics</x:v>
      </x:c>
      <x:c r="F10" s="13" t="str">
        <x:v>MVP</x:v>
      </x:c>
    </x:row>
    <x:row r="11">
      <x:c r="A11" s="13" t="str">
        <x:v>9</x:v>
      </x:c>
      <x:c r="B11" s="13" t="str">
        <x:v>Logistics can destroy margin.</x:v>
      </x:c>
      <x:c r="C11" s="13" t="str">
        <x:v>Route optimisation and load consolidation by material/grade/route.</x:v>
      </x:c>
      <x:c r="D11" s="13" t="str">
        <x:v>A low-value material can become uneconomic after freight.</x:v>
      </x:c>
      <x:c r="E11" s="13" t="str">
        <x:v>Pickup, vehicle, route, freight, load</x:v>
      </x:c>
      <x:c r="F11" s="13" t="str">
        <x:v>Phase 2</x:v>
      </x:c>
    </x:row>
    <x:row r="12">
      <x:c r="A12" s="13" t="str">
        <x:v>10</x:v>
      </x:c>
      <x:c r="B12" s="13" t="str">
        <x:v>Quality disputes can destroy trust.</x:v>
      </x:c>
      <x:c r="C12" s="13" t="str">
        <x:v>Digital QC checklist, photo evidence, sample upload and buyer acceptance status.</x:v>
      </x:c>
      <x:c r="D12" s="13" t="str">
        <x:v>Turns 'trust' into a workflow rather than a rating alone.</x:v>
      </x:c>
      <x:c r="E12" s="13" t="str">
        <x:v>QC event, evidence, acceptance/rejection</x:v>
      </x:c>
      <x:c r="F12" s="13" t="str">
        <x:v>Phase 2</x:v>
      </x:c>
    </x:row>
    <x:row r="13">
      <x:c r="A13" s="13" t="str">
        <x:v>11</x:v>
      </x:c>
      <x:c r="B13" s="13" t="str">
        <x:v>Residual waste still needs a route.</x:v>
      </x:c>
      <x:c r="C13" s="13" t="str">
        <x:v>Residual-routing engine should prohibit ordinary marketplace sale where controlled handling is required.</x:v>
      </x:c>
      <x:c r="D13" s="13" t="str">
        <x:v>Protects the platform from uncontrolled movement of regulated waste.</x:v>
      </x:c>
      <x:c r="E13" s="13" t="str">
        <x:v>Residual type, authorised destination, manifest</x:v>
      </x:c>
      <x:c r="F13" s="13" t="str">
        <x:v>MVP</x:v>
      </x:c>
    </x:row>
    <x:row r="14">
      <x:c r="A14" s="13" t="str">
        <x:v>12</x:v>
      </x:c>
      <x:c r="B14" s="13" t="str">
        <x:v>Data is fragmented by material family.</x:v>
      </x:c>
      <x:c r="C14" s="13" t="str">
        <x:v>Create a common taxonomy with family → grade → state → process → output.</x:v>
      </x:c>
      <x:c r="D14" s="13" t="str">
        <x:v>Allows search across sectors and transformation chains.</x:v>
      </x:c>
      <x:c r="E14" s="13" t="str">
        <x:v>Material master, synonyms, grades, attributes</x:v>
      </x:c>
      <x:c r="F14" s="13" t="str">
        <x:v>MVP</x:v>
      </x:c>
    </x:row>
    <x:row r="15">
      <x:c r="A15" s="13" t="str">
        <x:v>13</x:v>
      </x:c>
      <x:c r="B15" s="13" t="str">
        <x:v>EPR/impact is secondary to trading.</x:v>
      </x:c>
      <x:c r="C15" s="13" t="str">
        <x:v>Build mass-balance ledger: input weight → recovered products + by-products + residuals.</x:v>
      </x:c>
      <x:c r="D15" s="13" t="str">
        <x:v>Creates verified impact metrics and chain-of-custody data.</x:v>
      </x:c>
      <x:c r="E15" s="13" t="str">
        <x:v>Mass balance, processing yield, destination</x:v>
      </x:c>
      <x:c r="F15" s="13" t="str">
        <x:v>Phase 2</x:v>
      </x:c>
    </x:row>
    <x:row r="16">
      <x:c r="A16" s="13" t="str">
        <x:v>14</x:v>
      </x:c>
      <x:c r="B16" s="13" t="str">
        <x:v>The platform should not merely 'sell waste'.</x:v>
      </x:c>
      <x:c r="C16" s="13" t="str">
        <x:v>Position Luma.Green as a circular industrial material exchange with traceable transformation.</x:v>
      </x:c>
      <x:c r="D16" s="13" t="str">
        <x:v>Creates a B2B value proposition beyond pickup.</x:v>
      </x:c>
      <x:c r="E16" s="13" t="str">
        <x:v>Marketplace, material graph, buyer demand, traceability</x:v>
      </x:c>
      <x:c r="F16" s="13" t="str">
        <x:v>Scale</x:v>
      </x:c>
    </x:row>
    <x:row r="19">
      <x:c r="A19" s="51" t="str">
        <x:v>Recommended core architecture: Marketplace + Material Graph + Lot Ledger + QC Layer + Compliance Layer + Logistics + EPR/Impact.</x:v>
      </x:c>
      <x:c r="B19" s="51"/>
      <x:c r="C19" s="51"/>
      <x:c r="D19" s="51"/>
      <x:c r="E19" s="51"/>
      <x:c r="F19" s="51"/>
    </x:row>
  </x:sheetData>
  <x:mergeCells>
    <x:mergeCell ref="A1:F1"/>
    <x:mergeCell ref="A19:F19"/>
  </x:mergeCells>
  <x:pageMargins left="0.7" right="0.7" top="0.75" bottom="0.75" header="0.3" footer="0.3"/>
  <x:tableParts count="1">
    <x:tablePart xmlns:r="http://schemas.openxmlformats.org/officeDocument/2006/relationships" r:id="Rc114346e2ba840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  <x:col min="3" max="3" width="70" hidden="0" customWidth="1"/>
    <x:col min="4" max="4" width="55" hidden="0" customWidth="1"/>
  </x:cols>
  <x:sheetData>
    <x:row r="1" ht="26" customHeight="1">
      <x:c r="A1" s="5" t="str">
        <x:v>Source &amp; Scope Notes</x:v>
      </x:c>
      <x:c r="B1" s="5"/>
      <x:c r="C1" s="5"/>
      <x:c r="D1" s="5"/>
    </x:row>
    <x:row r="2" ht="32" customHeight="1">
      <x:c r="A2" s="22" t="str">
        <x:v>Source</x:v>
      </x:c>
      <x:c r="B2" s="22" t="str">
        <x:v>Use in workbook</x:v>
      </x:c>
      <x:c r="C2" s="22" t="str">
        <x:v>Scope / note</x:v>
      </x:c>
      <x:c r="D2" s="22" t="str">
        <x:v>Link / reference</x:v>
      </x:c>
    </x:row>
    <x:row r="3">
      <x:c r="A3" s="13" t="str">
        <x:v>Uploaded CPCB report: Classification of Sectors into Red, Orange, Green, White and Blue Categories (January 2025)</x:v>
      </x:c>
      <x:c r="B3" s="13" t="str">
        <x:v>Industry grouping / regulatory context</x:v>
      </x:c>
      <x:c r="C3" s="13" t="str">
        <x:v>CPCB says the revised methodology classifies sectors by pollution potential; industrial category depends on water, air and waste scores and process factors.</x:v>
      </x:c>
      <x:c r="D3" s="13" t="str">
        <x:v>Uploaded PDF</x:v>
      </x:c>
    </x:row>
    <x:row r="4">
      <x:c r="A4" s="13" t="str">
        <x:v>Uploaded KSPCB 'New Category List' reference</x:v>
      </x:c>
      <x:c r="B4" s="13" t="str">
        <x:v>Historical/State consent reference used as supporting context</x:v>
      </x:c>
      <x:c r="C4" s="13" t="str">
        <x:v>The uploaded list contains KSPCB category codes and descriptions such as PET flakes, ferrous/non-ferrous processing, synthetic fibres, e-waste and other activities.</x:v>
      </x:c>
      <x:c r="D4" s="13" t="str">
        <x:v>https://kspcb.karnataka.gov.in/consent-management/Notification_1425.pdf</x:v>
      </x:c>
    </x:row>
    <x:row r="5">
      <x:c r="A5" s="13" t="str">
        <x:v>Uploaded Luma.Green Platform Plan</x:v>
      </x:c>
      <x:c r="B5" s="13" t="str">
        <x:v>User roles, trading chain, compliance-led platform concept</x:v>
      </x:c>
      <x:c r="C5" s="13" t="str">
        <x:v>Original plan covers household, kabadiwala, Saathi, DWC, yard, recycler, manufacturer, brands/EPR and shared transaction record.</x:v>
      </x:c>
      <x:c r="D5" s="13" t="str">
        <x:v>Uploaded DOCX</x:v>
      </x:c>
    </x:row>
    <x:row r="6">
      <x:c r="A6" s="13" t="str">
        <x:v>This workbook</x:v>
      </x:c>
      <x:c r="B6" s="13" t="str">
        <x:v>Luma.Green product taxonomy</x:v>
      </x:c>
      <x:c r="C6" s="13" t="str">
        <x:v>Process-based analysis of industrial material transformations. It is a platform design taxonomy, not legal advice or a substitute for unit-specific consent/waste classification.</x:v>
      </x:c>
      <x:c r="D6" s="13" t="str">
        <x:v>Prepared from uploaded material + platform analysis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14a5e5a017f47e4"/>
  </x:tableParts>
</x:worksheet>
</file>